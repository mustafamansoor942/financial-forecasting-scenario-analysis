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26b07dc2099ace2/Desktop/Finance Projects/BASF/"/>
    </mc:Choice>
  </mc:AlternateContent>
  <xr:revisionPtr revIDLastSave="120" documentId="11_3009E23642135FEB30AD231CDF931B70C18A0F5D" xr6:coauthVersionLast="47" xr6:coauthVersionMax="47" xr10:uidLastSave="{7C7F6605-2FD7-4B68-8E0C-9A5D073336F6}"/>
  <bookViews>
    <workbookView xWindow="-108" yWindow="-108" windowWidth="23256" windowHeight="12456" activeTab="3" xr2:uid="{00000000-000D-0000-FFFF-FFFF00000000}"/>
  </bookViews>
  <sheets>
    <sheet name="Income Statement" sheetId="1" r:id="rId1"/>
    <sheet name="Balance Sheet" sheetId="2" r:id="rId2"/>
    <sheet name="Cash Flow" sheetId="3" r:id="rId3"/>
    <sheet name="Financial Forecastin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 i="4" l="1"/>
  <c r="B6" i="4"/>
  <c r="D4" i="4"/>
  <c r="B4" i="4"/>
  <c r="B36" i="4" s="1"/>
  <c r="F3" i="3"/>
  <c r="E3" i="3"/>
  <c r="D3" i="3"/>
  <c r="C3" i="3"/>
  <c r="B3" i="3"/>
  <c r="F57" i="2"/>
  <c r="E57" i="2"/>
  <c r="D57" i="2"/>
  <c r="C57" i="2"/>
  <c r="B57" i="2"/>
  <c r="F44" i="2"/>
  <c r="E44" i="2"/>
  <c r="D44" i="2"/>
  <c r="C44" i="2"/>
  <c r="B44" i="2"/>
  <c r="F24" i="2"/>
  <c r="E24" i="2"/>
  <c r="D24" i="2"/>
  <c r="C24" i="2"/>
  <c r="B227" i="4"/>
  <c r="B221" i="4"/>
  <c r="B220" i="4"/>
  <c r="B219" i="4"/>
  <c r="B201" i="4"/>
  <c r="B195" i="4"/>
  <c r="B194" i="4"/>
  <c r="B193" i="4"/>
  <c r="B162" i="4"/>
  <c r="C158" i="4"/>
  <c r="B139" i="4"/>
  <c r="E225" i="4" s="1"/>
  <c r="B135" i="4"/>
  <c r="E104" i="4" s="1"/>
  <c r="B134" i="4"/>
  <c r="D101" i="4" s="1"/>
  <c r="B133" i="4"/>
  <c r="E94" i="4" s="1"/>
  <c r="C107" i="4"/>
  <c r="C154" i="4" s="1"/>
  <c r="B106" i="4"/>
  <c r="D104" i="4"/>
  <c r="B104" i="4"/>
  <c r="B103" i="4"/>
  <c r="B101" i="4"/>
  <c r="B100" i="4"/>
  <c r="B96" i="4"/>
  <c r="D94" i="4"/>
  <c r="C94" i="4"/>
  <c r="B94" i="4"/>
  <c r="B93" i="4"/>
  <c r="B92" i="4"/>
  <c r="B91" i="4"/>
  <c r="B70" i="4"/>
  <c r="F49" i="4"/>
  <c r="E49" i="4"/>
  <c r="D49" i="4"/>
  <c r="C49" i="4"/>
  <c r="B49" i="4"/>
  <c r="F47" i="4"/>
  <c r="E47" i="4"/>
  <c r="D47" i="4"/>
  <c r="C47" i="4"/>
  <c r="B47" i="4"/>
  <c r="F43" i="4"/>
  <c r="E43" i="4"/>
  <c r="D43" i="4"/>
  <c r="C43" i="4"/>
  <c r="B43" i="4"/>
  <c r="B118" i="4" s="1"/>
  <c r="F42" i="4"/>
  <c r="E42" i="4"/>
  <c r="D42" i="4"/>
  <c r="C42" i="4"/>
  <c r="B42" i="4"/>
  <c r="B117" i="4" s="1"/>
  <c r="F41" i="4"/>
  <c r="E41" i="4"/>
  <c r="D41" i="4"/>
  <c r="C41" i="4"/>
  <c r="B41" i="4"/>
  <c r="B116" i="4" s="1"/>
  <c r="F34" i="4"/>
  <c r="E34" i="4"/>
  <c r="D34" i="4"/>
  <c r="C34" i="4"/>
  <c r="B34" i="4"/>
  <c r="F33" i="4"/>
  <c r="E33" i="4"/>
  <c r="D33" i="4"/>
  <c r="C33" i="4"/>
  <c r="B33" i="4"/>
  <c r="F31" i="4"/>
  <c r="E31" i="4"/>
  <c r="D31" i="4"/>
  <c r="C31" i="4"/>
  <c r="B31" i="4"/>
  <c r="F30" i="4"/>
  <c r="E30" i="4"/>
  <c r="D30" i="4"/>
  <c r="C30" i="4"/>
  <c r="B30" i="4"/>
  <c r="F26" i="4"/>
  <c r="B126" i="4" s="1"/>
  <c r="E26" i="4"/>
  <c r="D26" i="4"/>
  <c r="C26" i="4"/>
  <c r="B26" i="4"/>
  <c r="F24" i="4"/>
  <c r="E24" i="4"/>
  <c r="D24" i="4"/>
  <c r="C24" i="4"/>
  <c r="B24" i="4"/>
  <c r="E21" i="4"/>
  <c r="E32" i="4" s="1"/>
  <c r="D21" i="4"/>
  <c r="D23" i="4" s="1"/>
  <c r="C21" i="4"/>
  <c r="C22" i="4" s="1"/>
  <c r="B21" i="4"/>
  <c r="B32" i="4" s="1"/>
  <c r="F20" i="4"/>
  <c r="E20" i="4"/>
  <c r="D20" i="4"/>
  <c r="C20" i="4"/>
  <c r="B20" i="4"/>
  <c r="F19" i="4"/>
  <c r="E19" i="4"/>
  <c r="D19" i="4"/>
  <c r="C19" i="4"/>
  <c r="B19" i="4"/>
  <c r="F18" i="4"/>
  <c r="E18" i="4"/>
  <c r="D18" i="4"/>
  <c r="C18" i="4"/>
  <c r="B18" i="4"/>
  <c r="F16" i="4"/>
  <c r="E16" i="4"/>
  <c r="D16" i="4"/>
  <c r="D17" i="4" s="1"/>
  <c r="C16" i="4"/>
  <c r="B16" i="4"/>
  <c r="F13" i="4"/>
  <c r="E63" i="4" s="1"/>
  <c r="E13" i="4"/>
  <c r="D13" i="4"/>
  <c r="C13" i="4"/>
  <c r="B13" i="4"/>
  <c r="F12" i="4"/>
  <c r="E12" i="4"/>
  <c r="D12" i="4"/>
  <c r="C12" i="4"/>
  <c r="B12" i="4"/>
  <c r="F11" i="4"/>
  <c r="E11" i="4"/>
  <c r="D11" i="4"/>
  <c r="C11" i="4"/>
  <c r="B11" i="4"/>
  <c r="F10" i="4"/>
  <c r="E10" i="4"/>
  <c r="D10" i="4"/>
  <c r="C10" i="4"/>
  <c r="B10" i="4"/>
  <c r="F9" i="4"/>
  <c r="E9" i="4"/>
  <c r="D9" i="4"/>
  <c r="C9" i="4"/>
  <c r="B9" i="4"/>
  <c r="F8" i="4"/>
  <c r="E8" i="4"/>
  <c r="D8" i="4"/>
  <c r="C8" i="4"/>
  <c r="F7" i="4"/>
  <c r="E7" i="4"/>
  <c r="D7" i="4"/>
  <c r="C7" i="4"/>
  <c r="B7" i="4"/>
  <c r="F6" i="4"/>
  <c r="E6" i="4"/>
  <c r="D6" i="4"/>
  <c r="C6" i="4"/>
  <c r="F4" i="4"/>
  <c r="B209" i="4" s="1"/>
  <c r="C209" i="4" s="1"/>
  <c r="E4" i="4"/>
  <c r="E36" i="4" s="1"/>
  <c r="D37" i="4"/>
  <c r="C4" i="4"/>
  <c r="C38" i="4" s="1"/>
  <c r="A87" i="4" l="1"/>
  <c r="C23" i="4"/>
  <c r="E5" i="4"/>
  <c r="E76" i="4" s="1"/>
  <c r="E48" i="4"/>
  <c r="B122" i="4"/>
  <c r="D5" i="4"/>
  <c r="D76" i="4" s="1"/>
  <c r="C104" i="4"/>
  <c r="B50" i="4"/>
  <c r="C5" i="4"/>
  <c r="C76" i="4" s="1"/>
  <c r="E44" i="4"/>
  <c r="D51" i="4"/>
  <c r="E35" i="4"/>
  <c r="F44" i="4"/>
  <c r="C48" i="4"/>
  <c r="E51" i="4"/>
  <c r="B102" i="4"/>
  <c r="B115" i="4" s="1"/>
  <c r="B167" i="4" s="1"/>
  <c r="D107" i="4"/>
  <c r="D154" i="4" s="1"/>
  <c r="C36" i="4"/>
  <c r="E107" i="4"/>
  <c r="E154" i="4" s="1"/>
  <c r="D36" i="4"/>
  <c r="D48" i="4"/>
  <c r="F17" i="4"/>
  <c r="B17" i="4"/>
  <c r="B38" i="4"/>
  <c r="B131" i="4"/>
  <c r="D116" i="4" s="1"/>
  <c r="F50" i="4"/>
  <c r="C44" i="4"/>
  <c r="B130" i="4"/>
  <c r="C219" i="4" s="1"/>
  <c r="A84" i="4"/>
  <c r="C177" i="4" s="1"/>
  <c r="B25" i="4"/>
  <c r="B27" i="4" s="1"/>
  <c r="C35" i="4"/>
  <c r="B48" i="4"/>
  <c r="C50" i="4"/>
  <c r="F35" i="4"/>
  <c r="C52" i="4"/>
  <c r="F48" i="4"/>
  <c r="F51" i="4"/>
  <c r="B80" i="4"/>
  <c r="B22" i="4"/>
  <c r="B35" i="4"/>
  <c r="E17" i="4"/>
  <c r="B23" i="4"/>
  <c r="C25" i="4"/>
  <c r="C27" i="4" s="1"/>
  <c r="C32" i="4"/>
  <c r="D44" i="4"/>
  <c r="D50" i="4"/>
  <c r="C101" i="4"/>
  <c r="E116" i="4"/>
  <c r="B119" i="4"/>
  <c r="D209" i="4"/>
  <c r="C178" i="4"/>
  <c r="B178" i="4"/>
  <c r="D178" i="4"/>
  <c r="C213" i="4" s="1"/>
  <c r="B95" i="4"/>
  <c r="C17" i="4"/>
  <c r="E23" i="4"/>
  <c r="F36" i="4"/>
  <c r="D38" i="4"/>
  <c r="A81" i="4"/>
  <c r="E101" i="4"/>
  <c r="B132" i="4"/>
  <c r="C199" i="4"/>
  <c r="F37" i="4"/>
  <c r="D25" i="4"/>
  <c r="D27" i="4" s="1"/>
  <c r="D35" i="4"/>
  <c r="B37" i="4"/>
  <c r="E38" i="4"/>
  <c r="E50" i="4"/>
  <c r="D52" i="4"/>
  <c r="B83" i="4"/>
  <c r="B179" i="4"/>
  <c r="D199" i="4"/>
  <c r="F5" i="4"/>
  <c r="F76" i="4" s="1"/>
  <c r="E25" i="4"/>
  <c r="E27" i="4" s="1"/>
  <c r="D32" i="4"/>
  <c r="C37" i="4"/>
  <c r="F38" i="4"/>
  <c r="B44" i="4"/>
  <c r="E52" i="4"/>
  <c r="C63" i="4"/>
  <c r="B125" i="4"/>
  <c r="B127" i="4" s="1"/>
  <c r="C179" i="4"/>
  <c r="E199" i="4"/>
  <c r="C225" i="4"/>
  <c r="E22" i="4"/>
  <c r="B51" i="4"/>
  <c r="D63" i="4"/>
  <c r="B86" i="4"/>
  <c r="C117" i="4"/>
  <c r="D179" i="4"/>
  <c r="D225" i="4"/>
  <c r="D22" i="4"/>
  <c r="E37" i="4"/>
  <c r="C51" i="4"/>
  <c r="B56" i="4"/>
  <c r="C56" i="4" s="1"/>
  <c r="B136" i="4"/>
  <c r="B183" i="4"/>
  <c r="C183" i="4" s="1"/>
  <c r="F21" i="4"/>
  <c r="B138" i="4" l="1"/>
  <c r="C218" i="4" s="1"/>
  <c r="B73" i="4"/>
  <c r="D177" i="4"/>
  <c r="C211" i="4" s="1"/>
  <c r="C116" i="4"/>
  <c r="B177" i="4"/>
  <c r="C57" i="4"/>
  <c r="C93" i="4" s="1"/>
  <c r="C145" i="4" s="1"/>
  <c r="B105" i="4"/>
  <c r="B137" i="4"/>
  <c r="C217" i="4" s="1"/>
  <c r="D117" i="4"/>
  <c r="E117" i="4"/>
  <c r="C193" i="4"/>
  <c r="C185" i="4"/>
  <c r="D183" i="4"/>
  <c r="C187" i="4"/>
  <c r="C192" i="4"/>
  <c r="C73" i="4"/>
  <c r="D73" i="4" s="1"/>
  <c r="A78" i="4" s="1"/>
  <c r="C61" i="4"/>
  <c r="B114" i="4"/>
  <c r="B113" i="4"/>
  <c r="B168" i="4" s="1"/>
  <c r="B112" i="4"/>
  <c r="B97" i="4"/>
  <c r="C58" i="4"/>
  <c r="C59" i="4" s="1"/>
  <c r="C118" i="4"/>
  <c r="C119" i="4" s="1"/>
  <c r="E118" i="4"/>
  <c r="E119" i="4" s="1"/>
  <c r="D118" i="4"/>
  <c r="D103" i="4"/>
  <c r="C228" i="4"/>
  <c r="E202" i="4"/>
  <c r="D202" i="4"/>
  <c r="E228" i="4"/>
  <c r="D228" i="4"/>
  <c r="C202" i="4"/>
  <c r="C103" i="4"/>
  <c r="E103" i="4"/>
  <c r="C92" i="4"/>
  <c r="C144" i="4" s="1"/>
  <c r="D56" i="4"/>
  <c r="D61" i="4" s="1"/>
  <c r="D219" i="4"/>
  <c r="D213" i="4"/>
  <c r="D211" i="4"/>
  <c r="E209" i="4"/>
  <c r="F32" i="4"/>
  <c r="F22" i="4"/>
  <c r="F52" i="4"/>
  <c r="F25" i="4"/>
  <c r="F27" i="4" s="1"/>
  <c r="F23" i="4"/>
  <c r="D176" i="4"/>
  <c r="C210" i="4" s="1"/>
  <c r="C176" i="4"/>
  <c r="C184" i="4" s="1"/>
  <c r="B176" i="4"/>
  <c r="C150" i="4" l="1"/>
  <c r="C100" i="4"/>
  <c r="D119" i="4"/>
  <c r="D218" i="4"/>
  <c r="D217" i="4"/>
  <c r="C191" i="4"/>
  <c r="C143" i="4"/>
  <c r="C126" i="4" s="1"/>
  <c r="C96" i="4"/>
  <c r="D210" i="4"/>
  <c r="C195" i="4"/>
  <c r="C194" i="4"/>
  <c r="C196" i="4" s="1"/>
  <c r="C186" i="4"/>
  <c r="B124" i="4"/>
  <c r="B123" i="4"/>
  <c r="E183" i="4"/>
  <c r="D185" i="4"/>
  <c r="D187" i="4"/>
  <c r="D192" i="4"/>
  <c r="D184" i="4"/>
  <c r="D191" i="4"/>
  <c r="D193" i="4"/>
  <c r="C62" i="4"/>
  <c r="C60" i="4"/>
  <c r="D108" i="4"/>
  <c r="D153" i="4" s="1"/>
  <c r="D155" i="4" s="1"/>
  <c r="C108" i="4"/>
  <c r="C153" i="4" s="1"/>
  <c r="C155" i="4" s="1"/>
  <c r="D221" i="4"/>
  <c r="D220" i="4"/>
  <c r="D212" i="4"/>
  <c r="D58" i="4"/>
  <c r="C146" i="4"/>
  <c r="C147" i="4" s="1"/>
  <c r="C102" i="4"/>
  <c r="C105" i="4" s="1"/>
  <c r="E108" i="4"/>
  <c r="E153" i="4" s="1"/>
  <c r="E155" i="4" s="1"/>
  <c r="E211" i="4"/>
  <c r="E218" i="4"/>
  <c r="E210" i="4"/>
  <c r="E212" i="4" s="1"/>
  <c r="D235" i="4"/>
  <c r="E213" i="4"/>
  <c r="E217" i="4"/>
  <c r="E219" i="4"/>
  <c r="E56" i="4"/>
  <c r="D143" i="4"/>
  <c r="D150" i="4"/>
  <c r="D92" i="4"/>
  <c r="D144" i="4" s="1"/>
  <c r="D57" i="4"/>
  <c r="C221" i="4"/>
  <c r="C220" i="4"/>
  <c r="C212" i="4"/>
  <c r="D59" i="4" l="1"/>
  <c r="D96" i="4"/>
  <c r="D186" i="4"/>
  <c r="D222" i="4"/>
  <c r="C222" i="4"/>
  <c r="D188" i="4"/>
  <c r="D204" i="4"/>
  <c r="E191" i="4"/>
  <c r="E185" i="4"/>
  <c r="E187" i="4"/>
  <c r="E193" i="4"/>
  <c r="E192" i="4"/>
  <c r="E184" i="4"/>
  <c r="C235" i="4"/>
  <c r="D214" i="4"/>
  <c r="D230" i="4"/>
  <c r="E150" i="4"/>
  <c r="E92" i="4"/>
  <c r="E144" i="4" s="1"/>
  <c r="E143" i="4"/>
  <c r="B235" i="4"/>
  <c r="E57" i="4"/>
  <c r="E58" i="4"/>
  <c r="E61" i="4"/>
  <c r="C188" i="4"/>
  <c r="C204" i="4"/>
  <c r="C64" i="4"/>
  <c r="C65" i="4" s="1"/>
  <c r="E220" i="4"/>
  <c r="E221" i="4"/>
  <c r="D60" i="4"/>
  <c r="D126" i="4"/>
  <c r="D62" i="4"/>
  <c r="D236" i="4"/>
  <c r="E230" i="4"/>
  <c r="E214" i="4"/>
  <c r="C214" i="4"/>
  <c r="C230" i="4"/>
  <c r="D195" i="4"/>
  <c r="D194" i="4"/>
  <c r="D196" i="4" s="1"/>
  <c r="D93" i="4"/>
  <c r="D145" i="4" s="1"/>
  <c r="D100" i="4"/>
  <c r="E186" i="4" l="1"/>
  <c r="E222" i="4"/>
  <c r="E96" i="4"/>
  <c r="C66" i="4"/>
  <c r="C142" i="4"/>
  <c r="C236" i="4"/>
  <c r="E204" i="4"/>
  <c r="E188" i="4"/>
  <c r="C189" i="4"/>
  <c r="C190" i="4" s="1"/>
  <c r="C197" i="4" s="1"/>
  <c r="D64" i="4"/>
  <c r="D65" i="4" s="1"/>
  <c r="D102" i="4"/>
  <c r="D105" i="4" s="1"/>
  <c r="D146" i="4"/>
  <c r="D147" i="4" s="1"/>
  <c r="D215" i="4"/>
  <c r="D216" i="4" s="1"/>
  <c r="D223" i="4" s="1"/>
  <c r="C215" i="4"/>
  <c r="C216" i="4" s="1"/>
  <c r="C223" i="4" s="1"/>
  <c r="E100" i="4"/>
  <c r="E93" i="4"/>
  <c r="E145" i="4" s="1"/>
  <c r="E59" i="4"/>
  <c r="E215" i="4"/>
  <c r="E216" i="4" s="1"/>
  <c r="E194" i="4"/>
  <c r="E195" i="4"/>
  <c r="D189" i="4"/>
  <c r="D190" i="4" s="1"/>
  <c r="D197" i="4" s="1"/>
  <c r="E196" i="4" l="1"/>
  <c r="D200" i="4"/>
  <c r="D198" i="4"/>
  <c r="D226" i="4"/>
  <c r="D224" i="4"/>
  <c r="E223" i="4"/>
  <c r="D237" i="4"/>
  <c r="D66" i="4"/>
  <c r="D142" i="4"/>
  <c r="D148" i="4" s="1"/>
  <c r="C224" i="4"/>
  <c r="C226" i="4"/>
  <c r="C227" i="4" s="1"/>
  <c r="E189" i="4"/>
  <c r="E190" i="4" s="1"/>
  <c r="C198" i="4"/>
  <c r="C200" i="4"/>
  <c r="C201" i="4" s="1"/>
  <c r="B236" i="4"/>
  <c r="E60" i="4"/>
  <c r="E126" i="4"/>
  <c r="E62" i="4"/>
  <c r="E102" i="4"/>
  <c r="E105" i="4" s="1"/>
  <c r="E146" i="4"/>
  <c r="E147" i="4" s="1"/>
  <c r="C148" i="4"/>
  <c r="C106" i="4"/>
  <c r="C237" i="4" l="1"/>
  <c r="E197" i="4"/>
  <c r="D164" i="4"/>
  <c r="D157" i="4"/>
  <c r="D166" i="4"/>
  <c r="D151" i="4"/>
  <c r="D163" i="4" s="1"/>
  <c r="D165" i="4"/>
  <c r="D106" i="4"/>
  <c r="C122" i="4"/>
  <c r="C165" i="4"/>
  <c r="C164" i="4"/>
  <c r="C157" i="4"/>
  <c r="C159" i="4" s="1"/>
  <c r="C166" i="4"/>
  <c r="C151" i="4"/>
  <c r="E226" i="4"/>
  <c r="E224" i="4"/>
  <c r="D238" i="4" s="1"/>
  <c r="E64" i="4"/>
  <c r="E65" i="4"/>
  <c r="D201" i="4"/>
  <c r="C203" i="4"/>
  <c r="C205" i="4" s="1"/>
  <c r="D227" i="4"/>
  <c r="C229" i="4"/>
  <c r="C231" i="4" s="1"/>
  <c r="C163" i="4" l="1"/>
  <c r="C162" i="4"/>
  <c r="C91" i="4"/>
  <c r="C169" i="4"/>
  <c r="D158" i="4"/>
  <c r="D159" i="4" s="1"/>
  <c r="D203" i="4"/>
  <c r="D205" i="4" s="1"/>
  <c r="B237" i="4"/>
  <c r="E66" i="4"/>
  <c r="E142" i="4"/>
  <c r="E148" i="4" s="1"/>
  <c r="E198" i="4"/>
  <c r="C238" i="4" s="1"/>
  <c r="E200" i="4"/>
  <c r="E201" i="4" s="1"/>
  <c r="E227" i="4"/>
  <c r="D229" i="4"/>
  <c r="D231" i="4" s="1"/>
  <c r="D122" i="4"/>
  <c r="E106" i="4" l="1"/>
  <c r="E122" i="4"/>
  <c r="C239" i="4"/>
  <c r="E203" i="4"/>
  <c r="D239" i="4"/>
  <c r="E229" i="4"/>
  <c r="D162" i="4"/>
  <c r="D91" i="4"/>
  <c r="E158" i="4"/>
  <c r="D169" i="4"/>
  <c r="C95" i="4"/>
  <c r="C115" i="4"/>
  <c r="C167" i="4" s="1"/>
  <c r="C125" i="4"/>
  <c r="C127" i="4" s="1"/>
  <c r="E166" i="4"/>
  <c r="E151" i="4"/>
  <c r="E164" i="4"/>
  <c r="E165" i="4"/>
  <c r="E157" i="4"/>
  <c r="E163" i="4" l="1"/>
  <c r="B238" i="4"/>
  <c r="E231" i="4"/>
  <c r="D241" i="4" s="1"/>
  <c r="D240" i="4"/>
  <c r="E205" i="4"/>
  <c r="C241" i="4" s="1"/>
  <c r="C240" i="4"/>
  <c r="D95" i="4"/>
  <c r="D115" i="4"/>
  <c r="D167" i="4" s="1"/>
  <c r="D125" i="4"/>
  <c r="D127" i="4" s="1"/>
  <c r="C114" i="4"/>
  <c r="C112" i="4"/>
  <c r="C113" i="4"/>
  <c r="C168" i="4" s="1"/>
  <c r="C97" i="4"/>
  <c r="E159" i="4"/>
  <c r="E169" i="4" l="1"/>
  <c r="B239" i="4"/>
  <c r="E162" i="4"/>
  <c r="E91" i="4"/>
  <c r="D97" i="4"/>
  <c r="D113" i="4"/>
  <c r="D168" i="4" s="1"/>
  <c r="D114" i="4"/>
  <c r="D112" i="4"/>
  <c r="C109" i="4"/>
  <c r="C123" i="4"/>
  <c r="C124" i="4"/>
  <c r="D109" i="4" l="1"/>
  <c r="D123" i="4"/>
  <c r="D124" i="4"/>
  <c r="E115" i="4"/>
  <c r="E167" i="4" s="1"/>
  <c r="E95" i="4"/>
  <c r="E125" i="4"/>
  <c r="B240" i="4" l="1"/>
  <c r="E127" i="4"/>
  <c r="B241" i="4" s="1"/>
  <c r="E113" i="4"/>
  <c r="E168" i="4" s="1"/>
  <c r="E114" i="4"/>
  <c r="E112" i="4"/>
  <c r="E97" i="4"/>
  <c r="E109" i="4" l="1"/>
  <c r="E123" i="4"/>
  <c r="E124" i="4"/>
</calcChain>
</file>

<file path=xl/sharedStrings.xml><?xml version="1.0" encoding="utf-8"?>
<sst xmlns="http://schemas.openxmlformats.org/spreadsheetml/2006/main" count="463" uniqueCount="290">
  <si>
    <t>BASF — Income Statement (FY2021–FY2025)</t>
  </si>
  <si>
    <t>Revenue</t>
  </si>
  <si>
    <t>Revenue Growth</t>
  </si>
  <si>
    <t>Cost of Revenue</t>
  </si>
  <si>
    <t>Gross Profit</t>
  </si>
  <si>
    <t>Selling, General &amp; Admin</t>
  </si>
  <si>
    <t>Research &amp; Development</t>
  </si>
  <si>
    <t>Other Operating Expenses</t>
  </si>
  <si>
    <t>Operating Expenses</t>
  </si>
  <si>
    <t>Operating Income</t>
  </si>
  <si>
    <t>Interest Expense</t>
  </si>
  <si>
    <t>Interest &amp; Investment Income</t>
  </si>
  <si>
    <t>Earnings From Equity Investments</t>
  </si>
  <si>
    <t>Currency Exchange Gain (Loss)</t>
  </si>
  <si>
    <t>Other Non Operating Income (Expenses)</t>
  </si>
  <si>
    <t>EBT Excluding Unusual Items</t>
  </si>
  <si>
    <t>Merger &amp; Restructuring Charges</t>
  </si>
  <si>
    <t>Gain (Loss) on Sale of Investments</t>
  </si>
  <si>
    <t>Gain (Loss) on Sale of Assets</t>
  </si>
  <si>
    <t>Asset Writedown</t>
  </si>
  <si>
    <t>-</t>
  </si>
  <si>
    <t>Pretax Income</t>
  </si>
  <si>
    <t>Income Tax Expense</t>
  </si>
  <si>
    <t>Earnings From Continuing Operations</t>
  </si>
  <si>
    <t>Earnings From Discontinued Operations</t>
  </si>
  <si>
    <t>Net Income to Company</t>
  </si>
  <si>
    <t>Minority Interest in Earnings</t>
  </si>
  <si>
    <t>Net Income</t>
  </si>
  <si>
    <t>Net Income to Common</t>
  </si>
  <si>
    <t>Net Income Growth</t>
  </si>
  <si>
    <t>Shares Outstanding (Basic)</t>
  </si>
  <si>
    <t>Shares Outstanding (Diluted)</t>
  </si>
  <si>
    <t>Shares Change</t>
  </si>
  <si>
    <t>EPS (Basic)</t>
  </si>
  <si>
    <t>EPS (Diluted)</t>
  </si>
  <si>
    <t>EPS Growth</t>
  </si>
  <si>
    <t>BASF — Balance Sheet (FY2021–FY2025)</t>
  </si>
  <si>
    <t>Fiscal Year</t>
  </si>
  <si>
    <t>FY 2021</t>
  </si>
  <si>
    <t>FY 2022</t>
  </si>
  <si>
    <t>FY 2023</t>
  </si>
  <si>
    <t>FY 2024</t>
  </si>
  <si>
    <t>FY 2025</t>
  </si>
  <si>
    <t>Cash &amp; Equivalents</t>
  </si>
  <si>
    <t>Short-Term Investments</t>
  </si>
  <si>
    <t>Trading Asset Securities</t>
  </si>
  <si>
    <t>Cash &amp; Short-Term Investments</t>
  </si>
  <si>
    <t>Cash Growth</t>
  </si>
  <si>
    <t>Accounts Receivable</t>
  </si>
  <si>
    <t>Other Receivables</t>
  </si>
  <si>
    <t>Receivables</t>
  </si>
  <si>
    <t>Inventory</t>
  </si>
  <si>
    <t>Prepaid Expenses</t>
  </si>
  <si>
    <t>Other Current Assets</t>
  </si>
  <si>
    <t>Total Current Assets</t>
  </si>
  <si>
    <t>Property, Plant &amp; Equipment</t>
  </si>
  <si>
    <t>Long-Term Investments</t>
  </si>
  <si>
    <t>Goodwill</t>
  </si>
  <si>
    <t>Other Intangible Assets</t>
  </si>
  <si>
    <t>Long-Term Accounts Receivable</t>
  </si>
  <si>
    <t>Long-Term Deferred Tax Assets</t>
  </si>
  <si>
    <t>Other Long-Term Assets</t>
  </si>
  <si>
    <t>Total Assets</t>
  </si>
  <si>
    <t>Average Accounts Receivable</t>
  </si>
  <si>
    <t>Liabilities</t>
  </si>
  <si>
    <t>Accounts Payable</t>
  </si>
  <si>
    <t>Accrued Expenses</t>
  </si>
  <si>
    <t>Short-Term Debt</t>
  </si>
  <si>
    <t>Current Portion of Long-Term Debt</t>
  </si>
  <si>
    <t>Current Portion of Leases</t>
  </si>
  <si>
    <t>Current Income Taxes Payable</t>
  </si>
  <si>
    <t>Current Unearned Revenue</t>
  </si>
  <si>
    <t>Other Current Liabilities</t>
  </si>
  <si>
    <t>Total Current Liabilities</t>
  </si>
  <si>
    <t>Long-Term Debt</t>
  </si>
  <si>
    <t>Long-Term Leases</t>
  </si>
  <si>
    <t>Long-Term Unearned Revenue</t>
  </si>
  <si>
    <t>Pension &amp; Post-Retirement Benefits</t>
  </si>
  <si>
    <t>Long-Term Deferred Tax Liabilities</t>
  </si>
  <si>
    <t>Other Long-Term Liabilities</t>
  </si>
  <si>
    <t>Total Liabilities</t>
  </si>
  <si>
    <t>Total Debt</t>
  </si>
  <si>
    <t>Shareholders' Equity</t>
  </si>
  <si>
    <t>Common Stock</t>
  </si>
  <si>
    <t>Retained Earnings</t>
  </si>
  <si>
    <t>Comprehensive Income &amp; Other</t>
  </si>
  <si>
    <t>Total Common Equity</t>
  </si>
  <si>
    <t>Minority Interest</t>
  </si>
  <si>
    <t>Total Liabilities &amp; Equity</t>
  </si>
  <si>
    <t>Balance Check</t>
  </si>
  <si>
    <t>BASF — Cash Flow Statement (FY2021–FY2025)</t>
  </si>
  <si>
    <t>Depreciation &amp; Amortization</t>
  </si>
  <si>
    <t>Other Amortization</t>
  </si>
  <si>
    <t>Loss (Gain) From Sale of Assets</t>
  </si>
  <si>
    <t>Asset Writedown &amp; Restructuring Costs</t>
  </si>
  <si>
    <t>Loss (Gain) on Equity Investments</t>
  </si>
  <si>
    <t>Other Operating Activities</t>
  </si>
  <si>
    <t>Change in Accounts Receivable</t>
  </si>
  <si>
    <t>Change in Inventory</t>
  </si>
  <si>
    <t>Change in Accounts Payable</t>
  </si>
  <si>
    <t>Change in Other Net Operating Assets</t>
  </si>
  <si>
    <t>Operating Cash Flow</t>
  </si>
  <si>
    <t>Operating Cash Flow Growth</t>
  </si>
  <si>
    <t>Investing Activities</t>
  </si>
  <si>
    <t>Capital Expenditures</t>
  </si>
  <si>
    <t>Cash Acquisitions</t>
  </si>
  <si>
    <t>Divestitures</t>
  </si>
  <si>
    <t>Investment in Securities</t>
  </si>
  <si>
    <t>Other Investing Activities</t>
  </si>
  <si>
    <t>Investing Cash Flow</t>
  </si>
  <si>
    <t>Financing Activities</t>
  </si>
  <si>
    <t>Long-Term Debt Issued</t>
  </si>
  <si>
    <t>Long-Term Debt Repaid</t>
  </si>
  <si>
    <t>Net Debt Issued (Repaid)</t>
  </si>
  <si>
    <t>Repurchase of Common Stock</t>
  </si>
  <si>
    <t>Common Dividends Paid</t>
  </si>
  <si>
    <t>Other Financing Activities</t>
  </si>
  <si>
    <t>Financing Cash Flow</t>
  </si>
  <si>
    <t>Foreign Exchange Rate Adjustments</t>
  </si>
  <si>
    <t>Miscellaneous Cash Flow Adjustments</t>
  </si>
  <si>
    <t>Net Cash Flow</t>
  </si>
  <si>
    <t>BASF — Financial Forecasting &amp; Scenario Analysis</t>
  </si>
  <si>
    <t xml:space="preserve">Historical Income Statement </t>
  </si>
  <si>
    <t>FY2021</t>
  </si>
  <si>
    <t>FY2022</t>
  </si>
  <si>
    <t>FY2023</t>
  </si>
  <si>
    <t>FY2024</t>
  </si>
  <si>
    <t>FY2025</t>
  </si>
  <si>
    <t>Cost of Revenue as a % of Revenue</t>
  </si>
  <si>
    <t>Gross Profit Margin</t>
  </si>
  <si>
    <t>Operating Expense as a % of Revenue</t>
  </si>
  <si>
    <t>Operating Profit Margin</t>
  </si>
  <si>
    <t>Net Profit Margin</t>
  </si>
  <si>
    <t>EBITDA Margin</t>
  </si>
  <si>
    <t>Interest Expense as % of Revenue</t>
  </si>
  <si>
    <t>Tax Rate</t>
  </si>
  <si>
    <t>Historical Balance Sheet</t>
  </si>
  <si>
    <t>Working Capital</t>
  </si>
  <si>
    <t>Working Capital as a percentage of Revenue</t>
  </si>
  <si>
    <t>Current Ratio</t>
  </si>
  <si>
    <t>Quick Ratio</t>
  </si>
  <si>
    <t>Cash Ratio</t>
  </si>
  <si>
    <t>Debt to Equity Ratio</t>
  </si>
  <si>
    <t>Debt to Asset Ratio</t>
  </si>
  <si>
    <t>Equity Ratio</t>
  </si>
  <si>
    <t>Net Debt</t>
  </si>
  <si>
    <t>EBITDA</t>
  </si>
  <si>
    <t>Net Debt-to-EBITDA</t>
  </si>
  <si>
    <t>Historical Cash Flow Statement</t>
  </si>
  <si>
    <t>Operating Cash Flow Margin</t>
  </si>
  <si>
    <t>Free Cash Flow</t>
  </si>
  <si>
    <t>Operating Cash Flow to Total Debt</t>
  </si>
  <si>
    <t>Cash Flow to Interest Coverage</t>
  </si>
  <si>
    <t>D &amp; A % of Revenue</t>
  </si>
  <si>
    <t>CapEx % of Revenue</t>
  </si>
  <si>
    <t>Current Asset % of Revenue</t>
  </si>
  <si>
    <t>Current Liabilities % Revenue</t>
  </si>
  <si>
    <t>Historical Working Capital Analysis</t>
  </si>
  <si>
    <t>Days Inventory Outstanding (DIO)</t>
  </si>
  <si>
    <t>Days Sales Outstanding (DSO)</t>
  </si>
  <si>
    <t>Days Payables Outstanding (DPO)</t>
  </si>
  <si>
    <t>Cash Conversion Cycle</t>
  </si>
  <si>
    <t>Historical Non-Current Assets &amp; Liabilities</t>
  </si>
  <si>
    <t>Non-Current Assets</t>
  </si>
  <si>
    <t>Non-Current Assets as % of Revenue</t>
  </si>
  <si>
    <t>Non-Current Liabilities</t>
  </si>
  <si>
    <t>Non-Current Liabilities as a percentage of Revenue</t>
  </si>
  <si>
    <t>Debt to Revenue Ratio</t>
  </si>
  <si>
    <t>Change in Debt</t>
  </si>
  <si>
    <t>Income Statement Forecast</t>
  </si>
  <si>
    <t>FY2025A</t>
  </si>
  <si>
    <t>FY2026F</t>
  </si>
  <si>
    <t>FY2027F</t>
  </si>
  <si>
    <t>FY2028F</t>
  </si>
  <si>
    <t>Revenue Growth Assumption</t>
  </si>
  <si>
    <t>—</t>
  </si>
  <si>
    <t>Revenue (€m)</t>
  </si>
  <si>
    <t>Cost of Revenue (€m)</t>
  </si>
  <si>
    <t>Operating Expense</t>
  </si>
  <si>
    <t>Operating Profit</t>
  </si>
  <si>
    <t>Pre-Tax Income</t>
  </si>
  <si>
    <t>Financial Assumptions &amp; Drivers</t>
  </si>
  <si>
    <t>Revenue Compound Annual Growth Rate (CAGR)</t>
  </si>
  <si>
    <t>Average</t>
  </si>
  <si>
    <t>Recent growth trend</t>
  </si>
  <si>
    <t>FY2026 Historical Trend Growth</t>
  </si>
  <si>
    <t>Cost of Revenue Average (% of Revenue)</t>
  </si>
  <si>
    <t>Average Operating Expense (% of Revenue)</t>
  </si>
  <si>
    <t>Historical Average Interest Expense (% of Revenue)</t>
  </si>
  <si>
    <t>Balance Sheet Forecast</t>
  </si>
  <si>
    <t>Assets</t>
  </si>
  <si>
    <t>Cash &amp; Cash Equivalents (€m)</t>
  </si>
  <si>
    <t>Accounts Receivable (€m)</t>
  </si>
  <si>
    <t>Inventory (€m)</t>
  </si>
  <si>
    <t>Other Current Assets (€m)</t>
  </si>
  <si>
    <t>Total Current Assets (€m)</t>
  </si>
  <si>
    <t>Net Non-Current Assets / PP&amp;E (€m)</t>
  </si>
  <si>
    <t>Total Assets (€m)</t>
  </si>
  <si>
    <t>Liabilities &amp; Equity</t>
  </si>
  <si>
    <t>Accounts Payable (€m)</t>
  </si>
  <si>
    <t>Other Current Liabilities (€m)</t>
  </si>
  <si>
    <t>Total Current Liabilities (€m)</t>
  </si>
  <si>
    <t>Total Debt (€m)</t>
  </si>
  <si>
    <t>Other Non-Current Liabilities (€m)</t>
  </si>
  <si>
    <t>Total Liabilities (€m)</t>
  </si>
  <si>
    <t>Ending Shareholders' Equity (€m)</t>
  </si>
  <si>
    <t>Dividends Paid (€m)</t>
  </si>
  <si>
    <t>Debt Issuance / (Repayment) (€m)</t>
  </si>
  <si>
    <t>Balance Check (Total Assets − Total Liabilities − Equity)</t>
  </si>
  <si>
    <t>Liquidity &amp; Working Capital Ratios</t>
  </si>
  <si>
    <t>Working Capital (€m)</t>
  </si>
  <si>
    <t>Current Ratio (x)</t>
  </si>
  <si>
    <t>Quick Ratio (x)</t>
  </si>
  <si>
    <t>Cash Ratio (x)</t>
  </si>
  <si>
    <t>DIO (days)</t>
  </si>
  <si>
    <t>DSO (days)</t>
  </si>
  <si>
    <t>DPO (days)</t>
  </si>
  <si>
    <t>Cash Conversion Cycle (days)</t>
  </si>
  <si>
    <t>Capital Structure Ratios</t>
  </si>
  <si>
    <t>Debt-to-Equity (x)</t>
  </si>
  <si>
    <t>Debt-to-Assets (%)</t>
  </si>
  <si>
    <t>Equity Ratio (%)</t>
  </si>
  <si>
    <t>Net Debt (€m)</t>
  </si>
  <si>
    <t>EBITDA (€m)</t>
  </si>
  <si>
    <t>Net Debt-to-EBITDA (x)</t>
  </si>
  <si>
    <t>Supporting Assumptions — Balance Sheet Forecast</t>
  </si>
  <si>
    <t>Average DSO (days)</t>
  </si>
  <si>
    <t>Average DIO (days)</t>
  </si>
  <si>
    <t>Average DPO (days)</t>
  </si>
  <si>
    <t>Other Current Assets (FY2025A, €m)</t>
  </si>
  <si>
    <t>Other Current Liabilities (FY2025A, €m)</t>
  </si>
  <si>
    <t>Other Non-Current Liabilities (FY2025A, €m)</t>
  </si>
  <si>
    <t>Total Debt (FY2025A, €m)</t>
  </si>
  <si>
    <t>Average D&amp;A (% of Revenue)</t>
  </si>
  <si>
    <t>Average CapEx (% of Revenue)</t>
  </si>
  <si>
    <t>FY2025A Dividend Paid (€m)</t>
  </si>
  <si>
    <t>Cash Flow Forecast (€m)</t>
  </si>
  <si>
    <t>(Increase) in Accounts Receivable</t>
  </si>
  <si>
    <t>(Increase) in Inventory</t>
  </si>
  <si>
    <t>Increase in Accounts Payable</t>
  </si>
  <si>
    <t>Net Change in Working Capital</t>
  </si>
  <si>
    <t>Capital Expenditure (CapEx)</t>
  </si>
  <si>
    <t>Debt Issuance / (Repayment)</t>
  </si>
  <si>
    <t>Dividends Paid</t>
  </si>
  <si>
    <t>Net Change in Cash</t>
  </si>
  <si>
    <t>Beginning Cash Balance</t>
  </si>
  <si>
    <t>Ending Cash Balance</t>
  </si>
  <si>
    <t>Cash Management Analysis (€m unless noted)</t>
  </si>
  <si>
    <t>Operating Cash Flow / Total Debt (x)</t>
  </si>
  <si>
    <t>Cash Flow Interest Coverage (x)</t>
  </si>
  <si>
    <t>Potential Financing Requirement (€m)</t>
  </si>
  <si>
    <t>Scenario Analysis</t>
  </si>
  <si>
    <t>Scenario Assumptions (applied to all forecast years, FY2026F–FY2028F)</t>
  </si>
  <si>
    <t>Assumption</t>
  </si>
  <si>
    <t>Base Case</t>
  </si>
  <si>
    <t>Downside Case</t>
  </si>
  <si>
    <t>Upside Case</t>
  </si>
  <si>
    <t>Revenue Growth (FY2026F/27F/28F)</t>
  </si>
  <si>
    <t>6% / 4% / 3%</t>
  </si>
  <si>
    <t>3% / 1% / 0%</t>
  </si>
  <si>
    <t>9% / 7% / 6%</t>
  </si>
  <si>
    <t>Cost of Revenue % of Revenue</t>
  </si>
  <si>
    <t>Operating Expense % of Revenue</t>
  </si>
  <si>
    <t>Interest Expense % of Revenue</t>
  </si>
  <si>
    <t>Downside Case — 3-Year Forecast (€m)</t>
  </si>
  <si>
    <t>D&amp;A</t>
  </si>
  <si>
    <t>CapEx</t>
  </si>
  <si>
    <t>Accounts Receivable (balance)</t>
  </si>
  <si>
    <t>Inventory (balance)</t>
  </si>
  <si>
    <t>Accounts Payable (balance)</t>
  </si>
  <si>
    <t>Financing Cash Flow (Debt flat + Dividend held at FY2025A level)</t>
  </si>
  <si>
    <t>Total Debt (held flat, Base Case level)</t>
  </si>
  <si>
    <t>Upside Case — 3-Year Forecast (€m)</t>
  </si>
  <si>
    <t>Scenario Comparison — FY2028F Outcome</t>
  </si>
  <si>
    <t>Metric</t>
  </si>
  <si>
    <t>Revenue FY2028F (€m)</t>
  </si>
  <si>
    <t>Operating Profit FY2028F (€m)</t>
  </si>
  <si>
    <t>Net Income FY2028F (€m)</t>
  </si>
  <si>
    <t>Cumulative 3-Yr Free Cash Flow (€m)</t>
  </si>
  <si>
    <t>Ending Cash FY2028F (€m)</t>
  </si>
  <si>
    <t>Net Debt FY2028F (€m)</t>
  </si>
  <si>
    <t>Net Debt-to-EBITDA FY2028F (x)</t>
  </si>
  <si>
    <t>Management / CFO Interpretation</t>
  </si>
  <si>
    <t>Cash Management</t>
  </si>
  <si>
    <t>Free cash flow stays positive but thin (€193m–€426m/yr, Base Case) as growing accounts receivable and inventory absorb cash from a low-growth top line. Because the model holds the dividend flat at the FY2025A level (€2,086m) — reflecting BASF's historical pattern of paying dividends largely independent of a given year's earnings — dividends alone exceed free cash flow every forecast year. The Base Case ending cash balance turns negative from FY2027F, and remains negative even in the Upside Case. Management should treat the current dividend as under-covered by underlying cash generation at this growth/margin profile and monitor the Potential Financing Requirement line (row 175): a revolver draw, asset sale, or dividend reset are the realistic offsets if the shortfall is not absorbed by existing cash and short-term facilities.</t>
  </si>
  <si>
    <t>Capital Structure</t>
  </si>
  <si>
    <t>Total debt is held flat at the FY2025A level (€21,655m) in the Base Case, so leverage ratios are driven almost entirely by the small, roughly flat change in equity (net income only slightly exceeds the flat €2,086m dividend). As a result, Debt-to-Equity stays essentially unchanged (0.63x to 0.64x) and Equity Ratio holds near 44-45% across the forecast - leverage is broadly stable rather than improving or deteriorating on a book basis. Net Debt-to-EBITDA is more revealing: it initially improves (3.14x to 2.95x in FY2026F) as EBITDA recovers, but then rises back to 3.22x by FY2028F because Net Debt is calculated after netting cash, and cash turns negative from FY2027F. The gross balance sheet looks stable, but the cash-adjusted leverage picture is worsening - this is the more decision-relevant signal for lenders and rating agencies.</t>
  </si>
  <si>
    <t>The spread between Downside and Upside FY2028F outcomes is wide: Net Income ranges from €701m to €3,294m, and Net Debt-to-EBITDA ranges from 4.96x (Downside) to 2.32x (Upside), against a Base Case of 3.22x. The main risk is on the revenue growth and cost-of-revenue assumptions — a return to the FY2022–2024 pattern of double-digit revenue declines and cost inflation (as seen historically) would push leverage above 5x and deepen the cash shortfall meaningfully. The main opportunity is that even modest margin recovery (COGS -100bps, OpEx -100bps) compounds significantly over three years given the size of the revenue base.</t>
  </si>
  <si>
    <t>Overall CFO Interpretation</t>
  </si>
  <si>
    <t>The forecast shows a company stabilizing operationally (margins flattening after the FY2022–2024 decline) but not yet generating enough cash to comfortably fund its historical dividend, let alone delever. The single most important management action implied by this model is to resolve the dividend/free-cash-flow gap — either through margin improvement (the Upside case shows this is achievable), working-capital discipline (DSO/DIO/DPO are currently assumed flat at historical averages; improvement here would directly free up cash), or a explicit review of the capital return policy. Absent one of these, the model implies a growing reliance on the balance sheet (cash depletion and/or new borrowing) to sustain the current dividend.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</si>
</sst>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x"/>
    <numFmt numFmtId="165" formatCode="0.0"/>
    <numFmt numFmtId="166" formatCode="#,##0;\(#,##0\)"/>
    <numFmt numFmtId="167" formatCode="0.0%"/>
  </numFmts>
  <fonts count="14" x14ac:knownFonts="1">
    <font>
      <sz val="11"/>
      <color theme="1"/>
      <name val="Aptos Narrow"/>
      <family val="2"/>
      <charset val="1"/>
    </font>
    <font>
      <b/>
      <sz val="14"/>
      <color rgb="FFFFFFFF"/>
      <name val="Cambria"/>
      <charset val="1"/>
    </font>
    <font>
      <b/>
      <sz val="11"/>
      <color rgb="FFFFFFFF"/>
      <name val="Cambria"/>
      <charset val="1"/>
    </font>
    <font>
      <sz val="14"/>
      <color rgb="FF111827"/>
      <name val="Arial"/>
      <family val="2"/>
      <charset val="1"/>
    </font>
    <font>
      <sz val="14"/>
      <color rgb="FF15803D"/>
      <name val="Arial"/>
      <family val="2"/>
      <charset val="1"/>
    </font>
    <font>
      <sz val="14"/>
      <color rgb="FFDC2626"/>
      <name val="Arial"/>
      <family val="2"/>
      <charset val="1"/>
    </font>
    <font>
      <b/>
      <sz val="11"/>
      <name val="Cambria"/>
      <charset val="1"/>
    </font>
    <font>
      <b/>
      <sz val="12"/>
      <name val="Cambria"/>
      <charset val="1"/>
    </font>
    <font>
      <b/>
      <sz val="14"/>
      <color rgb="FF111827"/>
      <name val="Arial"/>
      <family val="2"/>
      <charset val="1"/>
    </font>
    <font>
      <b/>
      <sz val="11"/>
      <color theme="1"/>
      <name val="Aptos Narrow"/>
      <family val="2"/>
      <charset val="1"/>
    </font>
    <font>
      <sz val="10"/>
      <name val="Arial"/>
      <charset val="1"/>
    </font>
    <font>
      <sz val="10"/>
      <color rgb="FF000000"/>
      <name val="Arial"/>
      <charset val="1"/>
    </font>
    <font>
      <b/>
      <sz val="10"/>
      <name val="Arial"/>
      <charset val="1"/>
    </font>
    <font>
      <sz val="10"/>
      <color rgb="FF0000FF"/>
      <name val="Arial"/>
      <charset val="1"/>
    </font>
  </fonts>
  <fills count="10">
    <fill>
      <patternFill patternType="none"/>
    </fill>
    <fill>
      <patternFill patternType="gray125"/>
    </fill>
    <fill>
      <patternFill patternType="solid">
        <fgColor rgb="FF1F4E78"/>
        <bgColor rgb="FF003366"/>
      </patternFill>
    </fill>
    <fill>
      <patternFill patternType="solid">
        <fgColor rgb="FF5B9BD5"/>
        <bgColor rgb="FF969696"/>
      </patternFill>
    </fill>
    <fill>
      <patternFill patternType="solid">
        <fgColor rgb="FFF6F7F8"/>
        <bgColor rgb="FFF3F6F9"/>
      </patternFill>
    </fill>
    <fill>
      <patternFill patternType="solid">
        <fgColor rgb="FFFFFFFF"/>
        <bgColor rgb="FFF6F7F8"/>
      </patternFill>
    </fill>
    <fill>
      <patternFill patternType="solid">
        <fgColor rgb="FFD9EAF7"/>
        <bgColor rgb="FFD9E1F2"/>
      </patternFill>
    </fill>
    <fill>
      <patternFill patternType="solid">
        <fgColor rgb="FFFFFF00"/>
        <bgColor rgb="FFFFFF00"/>
      </patternFill>
    </fill>
    <fill>
      <patternFill patternType="solid">
        <fgColor rgb="FFE2F0D9"/>
        <bgColor rgb="FFD9EAF7"/>
      </patternFill>
    </fill>
    <fill>
      <patternFill patternType="solid">
        <fgColor rgb="FFF3F6F9"/>
        <bgColor rgb="FFF6F7F8"/>
      </patternFill>
    </fill>
  </fills>
  <borders count="2">
    <border>
      <left/>
      <right/>
      <top/>
      <bottom/>
      <diagonal/>
    </border>
    <border>
      <left/>
      <right/>
      <top/>
      <bottom style="thin">
        <color rgb="FFD9E1F2"/>
      </bottom>
      <diagonal/>
    </border>
  </borders>
  <cellStyleXfs count="1">
    <xf numFmtId="0" fontId="0" fillId="0" borderId="0"/>
  </cellStyleXfs>
  <cellXfs count="65">
    <xf numFmtId="0" fontId="0" fillId="0" borderId="0" xfId="0"/>
    <xf numFmtId="0" fontId="0" fillId="0" borderId="0" xfId="0" applyAlignment="1">
      <alignment horizontal="center"/>
    </xf>
    <xf numFmtId="0" fontId="2" fillId="3" borderId="1" xfId="0" applyFont="1" applyFill="1" applyBorder="1" applyAlignment="1">
      <alignment horizontal="center"/>
    </xf>
    <xf numFmtId="40" fontId="2" fillId="3" borderId="1" xfId="0" applyNumberFormat="1" applyFont="1" applyFill="1" applyBorder="1" applyAlignment="1">
      <alignment horizontal="center"/>
    </xf>
    <xf numFmtId="0" fontId="3" fillId="4" borderId="1" xfId="0" applyFont="1" applyFill="1" applyBorder="1" applyAlignment="1">
      <alignment vertical="center" wrapText="1"/>
    </xf>
    <xf numFmtId="10" fontId="4" fillId="5" borderId="1" xfId="0" applyNumberFormat="1" applyFont="1" applyFill="1" applyBorder="1" applyAlignment="1">
      <alignment vertical="center"/>
    </xf>
    <xf numFmtId="10" fontId="5" fillId="5" borderId="1" xfId="0" applyNumberFormat="1" applyFont="1" applyFill="1" applyBorder="1" applyAlignment="1">
      <alignment vertical="center"/>
    </xf>
    <xf numFmtId="40" fontId="3" fillId="5" borderId="1" xfId="0" applyNumberFormat="1" applyFont="1" applyFill="1" applyBorder="1" applyAlignment="1">
      <alignment vertical="center"/>
    </xf>
    <xf numFmtId="0" fontId="6" fillId="4" borderId="1" xfId="0" applyFont="1" applyFill="1" applyBorder="1" applyAlignment="1">
      <alignment vertical="center" wrapText="1"/>
    </xf>
    <xf numFmtId="40" fontId="6" fillId="5" borderId="1" xfId="0" applyNumberFormat="1" applyFont="1" applyFill="1" applyBorder="1" applyAlignment="1">
      <alignment vertical="center"/>
    </xf>
    <xf numFmtId="10" fontId="3" fillId="5" borderId="1" xfId="0" applyNumberFormat="1" applyFont="1" applyFill="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3" fontId="3" fillId="5" borderId="1" xfId="0" applyNumberFormat="1" applyFont="1" applyFill="1" applyBorder="1" applyAlignment="1">
      <alignment vertical="center"/>
    </xf>
    <xf numFmtId="0" fontId="7" fillId="6" borderId="1" xfId="0" applyFont="1" applyFill="1" applyBorder="1" applyAlignment="1">
      <alignment vertical="center" wrapText="1"/>
    </xf>
    <xf numFmtId="0" fontId="7" fillId="6" borderId="1" xfId="0" applyFont="1" applyFill="1" applyBorder="1" applyAlignment="1">
      <alignment vertical="center"/>
    </xf>
    <xf numFmtId="40" fontId="6" fillId="0" borderId="1" xfId="0" applyNumberFormat="1" applyFont="1" applyBorder="1" applyAlignment="1">
      <alignment vertical="center"/>
    </xf>
    <xf numFmtId="0" fontId="8" fillId="7" borderId="1" xfId="0" applyFont="1" applyFill="1" applyBorder="1" applyAlignment="1">
      <alignment vertical="center" wrapText="1"/>
    </xf>
    <xf numFmtId="0" fontId="0" fillId="7" borderId="1" xfId="0" applyFill="1" applyBorder="1" applyAlignment="1">
      <alignment vertical="center"/>
    </xf>
    <xf numFmtId="0" fontId="1" fillId="2" borderId="1" xfId="0" applyFont="1" applyFill="1" applyBorder="1" applyAlignment="1">
      <alignment horizontal="left"/>
    </xf>
    <xf numFmtId="0" fontId="2" fillId="3" borderId="1" xfId="0" applyFont="1" applyFill="1" applyBorder="1" applyAlignment="1">
      <alignment horizontal="center" vertical="center"/>
    </xf>
    <xf numFmtId="40" fontId="2" fillId="3" borderId="1" xfId="0" applyNumberFormat="1" applyFont="1" applyFill="1" applyBorder="1" applyAlignment="1">
      <alignment horizontal="center" vertical="center"/>
    </xf>
    <xf numFmtId="0" fontId="9" fillId="0" borderId="1" xfId="0" applyFont="1" applyBorder="1" applyAlignment="1">
      <alignment vertical="center"/>
    </xf>
    <xf numFmtId="40" fontId="0" fillId="0" borderId="1" xfId="0" applyNumberFormat="1" applyBorder="1" applyAlignment="1">
      <alignment vertical="center"/>
    </xf>
    <xf numFmtId="3" fontId="0" fillId="0" borderId="1" xfId="0" applyNumberFormat="1" applyBorder="1" applyAlignment="1">
      <alignment vertical="center"/>
    </xf>
    <xf numFmtId="10" fontId="0" fillId="0" borderId="1" xfId="0" applyNumberFormat="1" applyBorder="1" applyAlignment="1">
      <alignment vertical="center"/>
    </xf>
    <xf numFmtId="9" fontId="0" fillId="0" borderId="1" xfId="0" applyNumberFormat="1" applyBorder="1" applyAlignment="1">
      <alignment vertical="center"/>
    </xf>
    <xf numFmtId="164" fontId="0" fillId="0" borderId="1" xfId="0" applyNumberFormat="1" applyBorder="1" applyAlignment="1">
      <alignment vertical="center"/>
    </xf>
    <xf numFmtId="2" fontId="0" fillId="0" borderId="1" xfId="0" applyNumberFormat="1" applyBorder="1" applyAlignment="1">
      <alignment vertical="center"/>
    </xf>
    <xf numFmtId="165" fontId="0" fillId="0" borderId="1" xfId="0" applyNumberFormat="1" applyBorder="1" applyAlignment="1">
      <alignment vertical="center"/>
    </xf>
    <xf numFmtId="0" fontId="6" fillId="0" borderId="1" xfId="0" applyFont="1" applyBorder="1" applyAlignment="1">
      <alignment vertical="center" wrapText="1"/>
    </xf>
    <xf numFmtId="0" fontId="6" fillId="0" borderId="1" xfId="0" applyFont="1" applyBorder="1" applyAlignment="1">
      <alignment vertical="center"/>
    </xf>
    <xf numFmtId="0" fontId="6" fillId="6" borderId="1" xfId="0" applyFont="1" applyFill="1" applyBorder="1" applyAlignment="1">
      <alignment vertical="center" wrapText="1"/>
    </xf>
    <xf numFmtId="10" fontId="6" fillId="6" borderId="1" xfId="0" applyNumberFormat="1" applyFont="1" applyFill="1" applyBorder="1" applyAlignment="1">
      <alignment vertical="center"/>
    </xf>
    <xf numFmtId="2" fontId="6" fillId="6" borderId="1" xfId="0" applyNumberFormat="1" applyFont="1" applyFill="1" applyBorder="1" applyAlignment="1">
      <alignment vertical="center"/>
    </xf>
    <xf numFmtId="0" fontId="9" fillId="0" borderId="1" xfId="0" applyFont="1" applyBorder="1" applyAlignment="1">
      <alignment vertical="center" wrapText="1"/>
    </xf>
    <xf numFmtId="10" fontId="6" fillId="8" borderId="1" xfId="0" applyNumberFormat="1" applyFont="1" applyFill="1" applyBorder="1" applyAlignment="1">
      <alignment vertical="center"/>
    </xf>
    <xf numFmtId="10" fontId="0" fillId="0" borderId="1" xfId="0" applyNumberFormat="1" applyBorder="1" applyAlignment="1">
      <alignment vertical="center" wrapText="1"/>
    </xf>
    <xf numFmtId="9" fontId="6" fillId="0" borderId="1" xfId="0" applyNumberFormat="1" applyFont="1" applyBorder="1" applyAlignment="1">
      <alignment vertical="center" wrapText="1"/>
    </xf>
    <xf numFmtId="9" fontId="0" fillId="0" borderId="1" xfId="0" applyNumberFormat="1" applyBorder="1" applyAlignment="1">
      <alignment vertical="center" wrapText="1"/>
    </xf>
    <xf numFmtId="10" fontId="9" fillId="0" borderId="1" xfId="0" applyNumberFormat="1" applyFont="1" applyBorder="1" applyAlignment="1">
      <alignment vertical="center"/>
    </xf>
    <xf numFmtId="0" fontId="6" fillId="6" borderId="1" xfId="0" applyFont="1" applyFill="1" applyBorder="1" applyAlignment="1">
      <alignment vertical="center"/>
    </xf>
    <xf numFmtId="0" fontId="10" fillId="0" borderId="1" xfId="0" applyFont="1" applyBorder="1" applyAlignment="1">
      <alignment vertical="center"/>
    </xf>
    <xf numFmtId="0" fontId="11" fillId="0" borderId="1" xfId="0" applyFont="1" applyBorder="1" applyAlignment="1">
      <alignment vertical="center" wrapText="1"/>
    </xf>
    <xf numFmtId="40" fontId="11" fillId="0" borderId="1" xfId="0" applyNumberFormat="1" applyFont="1" applyBorder="1" applyAlignment="1">
      <alignment vertical="center"/>
    </xf>
    <xf numFmtId="0" fontId="10" fillId="0" borderId="1" xfId="0" applyFont="1" applyBorder="1" applyAlignment="1">
      <alignment vertical="center" wrapText="1"/>
    </xf>
    <xf numFmtId="0" fontId="6" fillId="8" borderId="1" xfId="0" applyFont="1" applyFill="1" applyBorder="1" applyAlignment="1">
      <alignment vertical="center"/>
    </xf>
    <xf numFmtId="40" fontId="6" fillId="8" borderId="1" xfId="0" applyNumberFormat="1" applyFont="1" applyFill="1" applyBorder="1" applyAlignment="1">
      <alignment vertical="center"/>
    </xf>
    <xf numFmtId="164" fontId="6" fillId="0" borderId="1" xfId="0" applyNumberFormat="1" applyFont="1" applyBorder="1" applyAlignment="1">
      <alignment vertical="center"/>
    </xf>
    <xf numFmtId="165" fontId="11" fillId="0" borderId="1" xfId="0" applyNumberFormat="1" applyFont="1" applyBorder="1" applyAlignment="1">
      <alignment vertical="center"/>
    </xf>
    <xf numFmtId="165" fontId="6" fillId="0" borderId="1" xfId="0" applyNumberFormat="1" applyFont="1" applyBorder="1" applyAlignment="1">
      <alignment vertical="center"/>
    </xf>
    <xf numFmtId="10" fontId="11" fillId="0" borderId="1" xfId="0" applyNumberFormat="1" applyFont="1" applyBorder="1" applyAlignment="1">
      <alignment vertical="center"/>
    </xf>
    <xf numFmtId="165" fontId="6" fillId="0" borderId="1" xfId="0" applyNumberFormat="1" applyFont="1" applyBorder="1" applyAlignment="1">
      <alignment vertical="center" wrapText="1"/>
    </xf>
    <xf numFmtId="166" fontId="6" fillId="0" borderId="1" xfId="0" applyNumberFormat="1" applyFont="1" applyBorder="1" applyAlignment="1">
      <alignment vertical="center" wrapText="1"/>
    </xf>
    <xf numFmtId="167" fontId="6" fillId="0" borderId="1" xfId="0" applyNumberFormat="1" applyFont="1" applyBorder="1" applyAlignment="1">
      <alignment vertical="center" wrapText="1"/>
    </xf>
    <xf numFmtId="0" fontId="11" fillId="0" borderId="1" xfId="0" applyFont="1" applyBorder="1" applyAlignment="1" applyProtection="1">
      <alignment vertical="center" wrapText="1"/>
      <protection locked="0"/>
    </xf>
    <xf numFmtId="0" fontId="10" fillId="0" borderId="1" xfId="0" applyFont="1" applyBorder="1" applyAlignment="1" applyProtection="1">
      <alignment vertical="center"/>
      <protection locked="0"/>
    </xf>
    <xf numFmtId="40" fontId="11" fillId="0" borderId="1" xfId="0" applyNumberFormat="1" applyFont="1" applyBorder="1" applyAlignment="1" applyProtection="1">
      <alignment vertical="center"/>
      <protection locked="0"/>
    </xf>
    <xf numFmtId="40" fontId="12" fillId="0" borderId="1" xfId="0" applyNumberFormat="1" applyFont="1" applyBorder="1" applyAlignment="1">
      <alignment vertical="center"/>
    </xf>
    <xf numFmtId="164" fontId="11" fillId="0" borderId="1" xfId="0" applyNumberFormat="1" applyFont="1" applyBorder="1" applyAlignment="1">
      <alignment vertical="center"/>
    </xf>
    <xf numFmtId="0" fontId="13" fillId="0" borderId="1" xfId="0" applyFont="1" applyBorder="1" applyAlignment="1">
      <alignment vertical="center"/>
    </xf>
    <xf numFmtId="40" fontId="13" fillId="0" borderId="1" xfId="0" applyNumberFormat="1" applyFont="1" applyBorder="1" applyAlignment="1">
      <alignment vertical="center"/>
    </xf>
    <xf numFmtId="0" fontId="1" fillId="2" borderId="1" xfId="0" applyFont="1" applyFill="1" applyBorder="1" applyAlignment="1">
      <alignment horizontal="left" vertical="center"/>
    </xf>
    <xf numFmtId="0" fontId="10" fillId="9" borderId="1" xfId="0" applyFont="1" applyFill="1" applyBorder="1" applyAlignment="1">
      <alignment vertical="top" wrapText="1"/>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15803D"/>
      <rgbColor rgb="FF000080"/>
      <rgbColor rgb="FF808000"/>
      <rgbColor rgb="FF800080"/>
      <rgbColor rgb="FF008080"/>
      <rgbColor rgb="FFC0C0C0"/>
      <rgbColor rgb="FF808080"/>
      <rgbColor rgb="FF5B9BD5"/>
      <rgbColor rgb="FF993366"/>
      <rgbColor rgb="FFF6F7F8"/>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3F6F9"/>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8.5546875" defaultRowHeight="14.25" customHeight="1" x14ac:dyDescent="0.3"/>
  <cols>
    <col min="1" max="1" width="48" customWidth="1"/>
    <col min="2" max="6" width="15" customWidth="1"/>
  </cols>
  <sheetData>
    <row r="1" spans="1:6" s="1" customFormat="1" ht="24.75" customHeight="1" x14ac:dyDescent="0.3">
      <c r="A1" s="62" t="s">
        <v>0</v>
      </c>
      <c r="B1" s="62"/>
      <c r="C1" s="62"/>
      <c r="D1" s="62"/>
      <c r="E1" s="62"/>
      <c r="F1" s="62"/>
    </row>
    <row r="2" spans="1:6" ht="18" customHeight="1" x14ac:dyDescent="0.3">
      <c r="A2" s="2" t="s">
        <v>1</v>
      </c>
      <c r="B2" s="3">
        <v>78598</v>
      </c>
      <c r="C2" s="3">
        <v>87327</v>
      </c>
      <c r="D2" s="3">
        <v>68902</v>
      </c>
      <c r="E2" s="3">
        <v>61444</v>
      </c>
      <c r="F2" s="3">
        <v>59657</v>
      </c>
    </row>
    <row r="3" spans="1:6" ht="18" customHeight="1" x14ac:dyDescent="0.3">
      <c r="A3" s="4" t="s">
        <v>2</v>
      </c>
      <c r="B3" s="5">
        <v>0.32879999999999998</v>
      </c>
      <c r="C3" s="5">
        <v>0.1111</v>
      </c>
      <c r="D3" s="6">
        <v>-0.21099999999999999</v>
      </c>
      <c r="E3" s="6">
        <v>-0.1082</v>
      </c>
      <c r="F3" s="6">
        <v>-2.9100000000000001E-2</v>
      </c>
    </row>
    <row r="4" spans="1:6" ht="18" customHeight="1" x14ac:dyDescent="0.3">
      <c r="A4" s="4" t="s">
        <v>3</v>
      </c>
      <c r="B4" s="7">
        <v>59091</v>
      </c>
      <c r="C4" s="7">
        <v>66697</v>
      </c>
      <c r="D4" s="7">
        <v>52506</v>
      </c>
      <c r="E4" s="7">
        <v>46534</v>
      </c>
      <c r="F4" s="7">
        <v>45527</v>
      </c>
    </row>
    <row r="5" spans="1:6" ht="18" customHeight="1" x14ac:dyDescent="0.3">
      <c r="A5" s="8" t="s">
        <v>4</v>
      </c>
      <c r="B5" s="9">
        <v>19507</v>
      </c>
      <c r="C5" s="9">
        <v>20630</v>
      </c>
      <c r="D5" s="9">
        <v>16396</v>
      </c>
      <c r="E5" s="9">
        <v>14910</v>
      </c>
      <c r="F5" s="9">
        <v>14130</v>
      </c>
    </row>
    <row r="6" spans="1:6" ht="18" customHeight="1" x14ac:dyDescent="0.3">
      <c r="A6" s="4" t="s">
        <v>5</v>
      </c>
      <c r="B6" s="7">
        <v>9902</v>
      </c>
      <c r="C6" s="7">
        <v>11201</v>
      </c>
      <c r="D6" s="7">
        <v>10379</v>
      </c>
      <c r="E6" s="7">
        <v>9025</v>
      </c>
      <c r="F6" s="7">
        <v>8883</v>
      </c>
    </row>
    <row r="7" spans="1:6" ht="18" customHeight="1" x14ac:dyDescent="0.3">
      <c r="A7" s="4" t="s">
        <v>6</v>
      </c>
      <c r="B7" s="7">
        <v>2216</v>
      </c>
      <c r="C7" s="7">
        <v>2298</v>
      </c>
      <c r="D7" s="7">
        <v>2130</v>
      </c>
      <c r="E7" s="7">
        <v>1969</v>
      </c>
      <c r="F7" s="7">
        <v>1995</v>
      </c>
    </row>
    <row r="8" spans="1:6" ht="18" customHeight="1" x14ac:dyDescent="0.3">
      <c r="A8" s="4" t="s">
        <v>7</v>
      </c>
      <c r="B8" s="7">
        <v>-115</v>
      </c>
      <c r="C8" s="7">
        <v>275</v>
      </c>
      <c r="D8" s="7">
        <v>1046</v>
      </c>
      <c r="E8" s="7">
        <v>1432</v>
      </c>
      <c r="F8" s="7">
        <v>779</v>
      </c>
    </row>
    <row r="9" spans="1:6" ht="18" customHeight="1" x14ac:dyDescent="0.3">
      <c r="A9" s="8" t="s">
        <v>8</v>
      </c>
      <c r="B9" s="9">
        <v>12040</v>
      </c>
      <c r="C9" s="9">
        <v>13774</v>
      </c>
      <c r="D9" s="9">
        <v>13555</v>
      </c>
      <c r="E9" s="9">
        <v>12426</v>
      </c>
      <c r="F9" s="9">
        <v>11657</v>
      </c>
    </row>
    <row r="10" spans="1:6" ht="18" customHeight="1" x14ac:dyDescent="0.3">
      <c r="A10" s="8" t="s">
        <v>9</v>
      </c>
      <c r="B10" s="9">
        <v>7467</v>
      </c>
      <c r="C10" s="9">
        <v>6856</v>
      </c>
      <c r="D10" s="9">
        <v>2841</v>
      </c>
      <c r="E10" s="9">
        <v>2484</v>
      </c>
      <c r="F10" s="9">
        <v>2473</v>
      </c>
    </row>
    <row r="11" spans="1:6" ht="18" customHeight="1" x14ac:dyDescent="0.3">
      <c r="A11" s="4" t="s">
        <v>10</v>
      </c>
      <c r="B11" s="7">
        <v>-506</v>
      </c>
      <c r="C11" s="7">
        <v>-631</v>
      </c>
      <c r="D11" s="7">
        <v>-868</v>
      </c>
      <c r="E11" s="7">
        <v>-929</v>
      </c>
      <c r="F11" s="7">
        <v>-924</v>
      </c>
    </row>
    <row r="12" spans="1:6" ht="18" customHeight="1" x14ac:dyDescent="0.3">
      <c r="A12" s="4" t="s">
        <v>11</v>
      </c>
      <c r="B12" s="7">
        <v>257</v>
      </c>
      <c r="C12" s="7">
        <v>354</v>
      </c>
      <c r="D12" s="7">
        <v>453</v>
      </c>
      <c r="E12" s="7">
        <v>512</v>
      </c>
      <c r="F12" s="7">
        <v>406</v>
      </c>
    </row>
    <row r="13" spans="1:6" ht="18" customHeight="1" x14ac:dyDescent="0.3">
      <c r="A13" s="4" t="s">
        <v>12</v>
      </c>
      <c r="B13" s="7">
        <v>960</v>
      </c>
      <c r="C13" s="7">
        <v>-4499</v>
      </c>
      <c r="D13" s="7">
        <v>78</v>
      </c>
      <c r="E13" s="7">
        <v>653</v>
      </c>
      <c r="F13" s="7">
        <v>1055</v>
      </c>
    </row>
    <row r="14" spans="1:6" ht="18" customHeight="1" x14ac:dyDescent="0.3">
      <c r="A14" s="4" t="s">
        <v>13</v>
      </c>
      <c r="B14" s="7">
        <v>-109</v>
      </c>
      <c r="C14" s="7">
        <v>-152</v>
      </c>
      <c r="D14" s="7">
        <v>-300</v>
      </c>
      <c r="E14" s="7">
        <v>-148</v>
      </c>
      <c r="F14" s="7">
        <v>-188</v>
      </c>
    </row>
    <row r="15" spans="1:6" ht="18" customHeight="1" x14ac:dyDescent="0.3">
      <c r="A15" s="4" t="s">
        <v>14</v>
      </c>
      <c r="B15" s="7">
        <v>-72</v>
      </c>
      <c r="C15" s="7">
        <v>-20</v>
      </c>
      <c r="D15" s="7">
        <v>-93</v>
      </c>
      <c r="E15" s="7">
        <v>16</v>
      </c>
      <c r="F15" s="7">
        <v>92</v>
      </c>
    </row>
    <row r="16" spans="1:6" ht="18" customHeight="1" x14ac:dyDescent="0.3">
      <c r="A16" s="4" t="s">
        <v>15</v>
      </c>
      <c r="B16" s="7">
        <v>7997</v>
      </c>
      <c r="C16" s="7">
        <v>1908</v>
      </c>
      <c r="D16" s="7">
        <v>2111</v>
      </c>
      <c r="E16" s="7">
        <v>2588</v>
      </c>
      <c r="F16" s="7">
        <v>2914</v>
      </c>
    </row>
    <row r="17" spans="1:6" ht="18" customHeight="1" x14ac:dyDescent="0.3">
      <c r="A17" s="4" t="s">
        <v>16</v>
      </c>
      <c r="B17" s="7">
        <v>-461</v>
      </c>
      <c r="C17" s="7">
        <v>-486</v>
      </c>
      <c r="D17" s="7">
        <v>-628</v>
      </c>
      <c r="E17" s="7">
        <v>-682</v>
      </c>
      <c r="F17" s="7">
        <v>-1109</v>
      </c>
    </row>
    <row r="18" spans="1:6" ht="18" customHeight="1" x14ac:dyDescent="0.3">
      <c r="A18" s="4" t="s">
        <v>17</v>
      </c>
      <c r="B18" s="7">
        <v>-114</v>
      </c>
      <c r="C18" s="7">
        <v>-107</v>
      </c>
      <c r="D18" s="7">
        <v>-112</v>
      </c>
      <c r="E18" s="7">
        <v>-110</v>
      </c>
      <c r="F18" s="7">
        <v>-33</v>
      </c>
    </row>
    <row r="19" spans="1:6" ht="18" customHeight="1" x14ac:dyDescent="0.3">
      <c r="A19" s="4" t="s">
        <v>18</v>
      </c>
      <c r="B19" s="7">
        <v>129</v>
      </c>
      <c r="C19" s="7">
        <v>250</v>
      </c>
      <c r="D19" s="7">
        <v>43</v>
      </c>
      <c r="E19" s="7">
        <v>65</v>
      </c>
      <c r="F19" s="7">
        <v>668</v>
      </c>
    </row>
    <row r="20" spans="1:6" ht="18" customHeight="1" x14ac:dyDescent="0.3">
      <c r="A20" s="4" t="s">
        <v>19</v>
      </c>
      <c r="B20" s="7">
        <v>-103</v>
      </c>
      <c r="C20" s="7">
        <v>-375</v>
      </c>
      <c r="D20" s="7">
        <v>6</v>
      </c>
      <c r="E20" s="7" t="s">
        <v>20</v>
      </c>
      <c r="F20" s="7">
        <v>8</v>
      </c>
    </row>
    <row r="21" spans="1:6" ht="18" customHeight="1" x14ac:dyDescent="0.3">
      <c r="A21" s="8" t="s">
        <v>21</v>
      </c>
      <c r="B21" s="9">
        <v>7448</v>
      </c>
      <c r="C21" s="9">
        <v>1190</v>
      </c>
      <c r="D21" s="9">
        <v>1420</v>
      </c>
      <c r="E21" s="9">
        <v>1861</v>
      </c>
      <c r="F21" s="9">
        <v>2448</v>
      </c>
    </row>
    <row r="22" spans="1:6" ht="18" customHeight="1" x14ac:dyDescent="0.3">
      <c r="A22" s="4" t="s">
        <v>22</v>
      </c>
      <c r="B22" s="7">
        <v>1430</v>
      </c>
      <c r="C22" s="7">
        <v>1581</v>
      </c>
      <c r="D22" s="7">
        <v>1041</v>
      </c>
      <c r="E22" s="7">
        <v>573</v>
      </c>
      <c r="F22" s="7">
        <v>907</v>
      </c>
    </row>
    <row r="23" spans="1:6" ht="18" customHeight="1" x14ac:dyDescent="0.3">
      <c r="A23" s="4" t="s">
        <v>23</v>
      </c>
      <c r="B23" s="7">
        <v>6018</v>
      </c>
      <c r="C23" s="7">
        <v>-391</v>
      </c>
      <c r="D23" s="7">
        <v>379</v>
      </c>
      <c r="E23" s="7">
        <v>1288</v>
      </c>
      <c r="F23" s="7">
        <v>1541</v>
      </c>
    </row>
    <row r="24" spans="1:6" ht="18" customHeight="1" x14ac:dyDescent="0.3">
      <c r="A24" s="4" t="s">
        <v>24</v>
      </c>
      <c r="B24" s="7">
        <v>-36</v>
      </c>
      <c r="C24" s="7" t="s">
        <v>20</v>
      </c>
      <c r="D24" s="7" t="s">
        <v>20</v>
      </c>
      <c r="E24" s="7">
        <v>165</v>
      </c>
      <c r="F24" s="7">
        <v>185</v>
      </c>
    </row>
    <row r="25" spans="1:6" ht="18" customHeight="1" x14ac:dyDescent="0.3">
      <c r="A25" s="4" t="s">
        <v>25</v>
      </c>
      <c r="B25" s="7">
        <v>5982</v>
      </c>
      <c r="C25" s="7">
        <v>-391</v>
      </c>
      <c r="D25" s="7">
        <v>379</v>
      </c>
      <c r="E25" s="7">
        <v>1453</v>
      </c>
      <c r="F25" s="7">
        <v>1726</v>
      </c>
    </row>
    <row r="26" spans="1:6" ht="18" customHeight="1" x14ac:dyDescent="0.3">
      <c r="A26" s="4" t="s">
        <v>26</v>
      </c>
      <c r="B26" s="7">
        <v>-459</v>
      </c>
      <c r="C26" s="7">
        <v>-236</v>
      </c>
      <c r="D26" s="7">
        <v>-154</v>
      </c>
      <c r="E26" s="7">
        <v>-155</v>
      </c>
      <c r="F26" s="7">
        <v>-107</v>
      </c>
    </row>
    <row r="27" spans="1:6" ht="18" customHeight="1" x14ac:dyDescent="0.3">
      <c r="A27" s="8" t="s">
        <v>27</v>
      </c>
      <c r="B27" s="9">
        <v>5523</v>
      </c>
      <c r="C27" s="9">
        <v>-627</v>
      </c>
      <c r="D27" s="9">
        <v>225</v>
      </c>
      <c r="E27" s="9">
        <v>1298</v>
      </c>
      <c r="F27" s="9">
        <v>1619</v>
      </c>
    </row>
    <row r="28" spans="1:6" ht="18" customHeight="1" x14ac:dyDescent="0.3">
      <c r="A28" s="4" t="s">
        <v>28</v>
      </c>
      <c r="B28" s="7">
        <v>5523</v>
      </c>
      <c r="C28" s="7">
        <v>-627</v>
      </c>
      <c r="D28" s="7">
        <v>225</v>
      </c>
      <c r="E28" s="7">
        <v>1298</v>
      </c>
      <c r="F28" s="7">
        <v>1619</v>
      </c>
    </row>
    <row r="29" spans="1:6" ht="18" customHeight="1" x14ac:dyDescent="0.3">
      <c r="A29" s="4" t="s">
        <v>29</v>
      </c>
      <c r="B29" s="10" t="s">
        <v>20</v>
      </c>
      <c r="C29" s="10" t="s">
        <v>20</v>
      </c>
      <c r="D29" s="10" t="s">
        <v>20</v>
      </c>
      <c r="E29" s="5">
        <v>4.7689000000000004</v>
      </c>
      <c r="F29" s="5">
        <v>0.24729999999999999</v>
      </c>
    </row>
    <row r="30" spans="1:6" ht="18" customHeight="1" x14ac:dyDescent="0.3">
      <c r="A30" s="4" t="s">
        <v>30</v>
      </c>
      <c r="B30" s="7">
        <v>918</v>
      </c>
      <c r="C30" s="7">
        <v>902</v>
      </c>
      <c r="D30" s="7">
        <v>893</v>
      </c>
      <c r="E30" s="7">
        <v>893</v>
      </c>
      <c r="F30" s="7">
        <v>892</v>
      </c>
    </row>
    <row r="31" spans="1:6" ht="18" customHeight="1" x14ac:dyDescent="0.3">
      <c r="A31" s="4" t="s">
        <v>31</v>
      </c>
      <c r="B31" s="7">
        <v>920</v>
      </c>
      <c r="C31" s="7">
        <v>902</v>
      </c>
      <c r="D31" s="7">
        <v>895</v>
      </c>
      <c r="E31" s="7">
        <v>895</v>
      </c>
      <c r="F31" s="7">
        <v>894</v>
      </c>
    </row>
    <row r="32" spans="1:6" ht="18" customHeight="1" x14ac:dyDescent="0.3">
      <c r="A32" s="4" t="s">
        <v>32</v>
      </c>
      <c r="B32" s="6">
        <v>2.9999999999999997E-4</v>
      </c>
      <c r="C32" s="5">
        <v>-2.0400000000000001E-2</v>
      </c>
      <c r="D32" s="5">
        <v>-7.4000000000000003E-3</v>
      </c>
      <c r="E32" s="5">
        <v>-1E-4</v>
      </c>
      <c r="F32" s="5">
        <v>-1E-3</v>
      </c>
    </row>
    <row r="33" spans="1:6" ht="18" customHeight="1" x14ac:dyDescent="0.3">
      <c r="A33" s="8" t="s">
        <v>33</v>
      </c>
      <c r="B33" s="9">
        <v>6.01</v>
      </c>
      <c r="C33" s="9">
        <v>-0.7</v>
      </c>
      <c r="D33" s="9">
        <v>0.25</v>
      </c>
      <c r="E33" s="9">
        <v>1.45</v>
      </c>
      <c r="F33" s="9">
        <v>1.82</v>
      </c>
    </row>
    <row r="34" spans="1:6" ht="18" customHeight="1" x14ac:dyDescent="0.3">
      <c r="A34" s="8" t="s">
        <v>34</v>
      </c>
      <c r="B34" s="9">
        <v>6</v>
      </c>
      <c r="C34" s="9">
        <v>-0.7</v>
      </c>
      <c r="D34" s="9">
        <v>0.25</v>
      </c>
      <c r="E34" s="9">
        <v>1.45</v>
      </c>
      <c r="F34" s="9">
        <v>1.81</v>
      </c>
    </row>
    <row r="35" spans="1:6" ht="17.25" customHeight="1" x14ac:dyDescent="0.3">
      <c r="A35" s="4" t="s">
        <v>35</v>
      </c>
      <c r="B35" s="10" t="s">
        <v>20</v>
      </c>
      <c r="C35" s="10" t="s">
        <v>20</v>
      </c>
      <c r="D35" s="10" t="s">
        <v>20</v>
      </c>
      <c r="E35" s="5">
        <v>4.8</v>
      </c>
      <c r="F35" s="5">
        <v>0.24829999999999999</v>
      </c>
    </row>
  </sheetData>
  <mergeCells count="1">
    <mergeCell ref="A1:F1"/>
  </mergeCells>
  <pageMargins left="0.7" right="0.7" top="0.75" bottom="0.75"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7"/>
  <sheetViews>
    <sheetView showGridLines="0" zoomScaleNormal="100" workbookViewId="0">
      <pane xSplit="1" ySplit="2" topLeftCell="B3" activePane="bottomRight" state="frozen"/>
      <selection pane="topRight" activeCell="B1" sqref="B1"/>
      <selection pane="bottomLeft" activeCell="A3" sqref="A3"/>
      <selection pane="bottomRight" activeCell="I7" sqref="I7"/>
    </sheetView>
  </sheetViews>
  <sheetFormatPr defaultColWidth="8.5546875" defaultRowHeight="14.25" customHeight="1" x14ac:dyDescent="0.3"/>
  <cols>
    <col min="1" max="1" width="48" customWidth="1"/>
    <col min="2" max="6" width="15" customWidth="1"/>
  </cols>
  <sheetData>
    <row r="1" spans="1:6" ht="24.75" customHeight="1" x14ac:dyDescent="0.3">
      <c r="A1" s="64" t="s">
        <v>36</v>
      </c>
      <c r="B1" s="64"/>
      <c r="C1" s="64"/>
      <c r="D1" s="64"/>
      <c r="E1" s="64"/>
      <c r="F1" s="64"/>
    </row>
    <row r="2" spans="1:6" s="1" customFormat="1" ht="18" customHeight="1" x14ac:dyDescent="0.3">
      <c r="A2" s="2" t="s">
        <v>37</v>
      </c>
      <c r="B2" s="3" t="s">
        <v>38</v>
      </c>
      <c r="C2" s="3" t="s">
        <v>39</v>
      </c>
      <c r="D2" s="3" t="s">
        <v>40</v>
      </c>
      <c r="E2" s="3" t="s">
        <v>41</v>
      </c>
      <c r="F2" s="3" t="s">
        <v>42</v>
      </c>
    </row>
    <row r="3" spans="1:6" ht="18" customHeight="1" x14ac:dyDescent="0.3">
      <c r="A3" s="4" t="s">
        <v>43</v>
      </c>
      <c r="B3" s="7">
        <v>2624</v>
      </c>
      <c r="C3" s="7">
        <v>2516</v>
      </c>
      <c r="D3" s="7">
        <v>2624</v>
      </c>
      <c r="E3" s="7">
        <v>2914</v>
      </c>
      <c r="F3" s="7">
        <v>2670</v>
      </c>
    </row>
    <row r="4" spans="1:6" ht="18" customHeight="1" x14ac:dyDescent="0.3">
      <c r="A4" s="4" t="s">
        <v>44</v>
      </c>
      <c r="B4" s="7">
        <v>208</v>
      </c>
      <c r="C4" s="7">
        <v>232</v>
      </c>
      <c r="D4" s="7">
        <v>53</v>
      </c>
      <c r="E4" s="7">
        <v>67</v>
      </c>
      <c r="F4" s="7">
        <v>89</v>
      </c>
    </row>
    <row r="5" spans="1:6" ht="18" customHeight="1" x14ac:dyDescent="0.3">
      <c r="A5" s="4" t="s">
        <v>45</v>
      </c>
      <c r="B5" s="7">
        <v>1554</v>
      </c>
      <c r="C5" s="7">
        <v>1939</v>
      </c>
      <c r="D5" s="7">
        <v>1139</v>
      </c>
      <c r="E5" s="7" t="s">
        <v>20</v>
      </c>
      <c r="F5" s="7">
        <v>1327</v>
      </c>
    </row>
    <row r="6" spans="1:6" ht="18" customHeight="1" x14ac:dyDescent="0.3">
      <c r="A6" s="4" t="s">
        <v>46</v>
      </c>
      <c r="B6" s="7">
        <v>4386</v>
      </c>
      <c r="C6" s="7">
        <v>4687</v>
      </c>
      <c r="D6" s="7">
        <v>3816</v>
      </c>
      <c r="E6" s="7">
        <v>2981</v>
      </c>
      <c r="F6" s="7">
        <v>4086</v>
      </c>
    </row>
    <row r="7" spans="1:6" ht="18" customHeight="1" x14ac:dyDescent="0.3">
      <c r="A7" s="4" t="s">
        <v>47</v>
      </c>
      <c r="B7" s="6">
        <v>-0.2858</v>
      </c>
      <c r="C7" s="5">
        <v>6.8599999999999994E-2</v>
      </c>
      <c r="D7" s="6">
        <v>-0.18579999999999999</v>
      </c>
      <c r="E7" s="6">
        <v>-0.21879999999999999</v>
      </c>
      <c r="F7" s="5">
        <v>0.37069999999999997</v>
      </c>
    </row>
    <row r="8" spans="1:6" ht="18" customHeight="1" x14ac:dyDescent="0.3">
      <c r="A8" s="4" t="s">
        <v>48</v>
      </c>
      <c r="B8" s="7">
        <v>11946</v>
      </c>
      <c r="C8" s="7">
        <v>12057</v>
      </c>
      <c r="D8" s="7">
        <v>10417</v>
      </c>
      <c r="E8" s="7">
        <v>10393</v>
      </c>
      <c r="F8" s="7">
        <v>8327</v>
      </c>
    </row>
    <row r="9" spans="1:6" ht="18" customHeight="1" x14ac:dyDescent="0.3">
      <c r="A9" s="4" t="s">
        <v>49</v>
      </c>
      <c r="B9" s="7">
        <v>2187</v>
      </c>
      <c r="C9" s="7">
        <v>2485</v>
      </c>
      <c r="D9" s="7">
        <v>1761</v>
      </c>
      <c r="E9" s="7">
        <v>3996</v>
      </c>
      <c r="F9" s="7">
        <v>1623</v>
      </c>
    </row>
    <row r="10" spans="1:6" ht="18" customHeight="1" x14ac:dyDescent="0.3">
      <c r="A10" s="4" t="s">
        <v>50</v>
      </c>
      <c r="B10" s="7">
        <v>14282</v>
      </c>
      <c r="C10" s="7">
        <v>14645</v>
      </c>
      <c r="D10" s="7">
        <v>12360</v>
      </c>
      <c r="E10" s="7">
        <v>14389</v>
      </c>
      <c r="F10" s="7">
        <v>10088</v>
      </c>
    </row>
    <row r="11" spans="1:6" ht="18" customHeight="1" x14ac:dyDescent="0.3">
      <c r="A11" s="4" t="s">
        <v>51</v>
      </c>
      <c r="B11" s="7">
        <v>13868</v>
      </c>
      <c r="C11" s="7">
        <v>16028</v>
      </c>
      <c r="D11" s="7">
        <v>13876</v>
      </c>
      <c r="E11" s="7">
        <v>13681</v>
      </c>
      <c r="F11" s="7">
        <v>12168</v>
      </c>
    </row>
    <row r="12" spans="1:6" ht="18" customHeight="1" x14ac:dyDescent="0.3">
      <c r="A12" s="4" t="s">
        <v>52</v>
      </c>
      <c r="B12" s="7">
        <v>327</v>
      </c>
      <c r="C12" s="7">
        <v>285</v>
      </c>
      <c r="D12" s="7">
        <v>225</v>
      </c>
      <c r="E12" s="7" t="s">
        <v>20</v>
      </c>
      <c r="F12" s="7">
        <v>207</v>
      </c>
    </row>
    <row r="13" spans="1:6" ht="18" customHeight="1" x14ac:dyDescent="0.3">
      <c r="A13" s="4" t="s">
        <v>53</v>
      </c>
      <c r="B13" s="7">
        <v>2188</v>
      </c>
      <c r="C13" s="7">
        <v>1777</v>
      </c>
      <c r="D13" s="7">
        <v>1195</v>
      </c>
      <c r="E13" s="7">
        <v>181</v>
      </c>
      <c r="F13" s="7">
        <v>5135</v>
      </c>
    </row>
    <row r="14" spans="1:6" ht="18" customHeight="1" x14ac:dyDescent="0.3">
      <c r="A14" s="8" t="s">
        <v>54</v>
      </c>
      <c r="B14" s="9">
        <v>35051</v>
      </c>
      <c r="C14" s="9">
        <v>37422</v>
      </c>
      <c r="D14" s="9">
        <v>31472</v>
      </c>
      <c r="E14" s="9">
        <v>31232</v>
      </c>
      <c r="F14" s="9">
        <v>31684</v>
      </c>
    </row>
    <row r="15" spans="1:6" ht="18" customHeight="1" x14ac:dyDescent="0.3">
      <c r="A15" s="4" t="s">
        <v>55</v>
      </c>
      <c r="B15" s="10">
        <v>17871</v>
      </c>
      <c r="C15" s="10">
        <v>17908</v>
      </c>
      <c r="D15" s="10">
        <v>17639</v>
      </c>
      <c r="E15" s="10">
        <v>17773</v>
      </c>
      <c r="F15" s="10">
        <v>20325</v>
      </c>
    </row>
    <row r="16" spans="1:6" ht="18" customHeight="1" x14ac:dyDescent="0.3">
      <c r="A16" s="4" t="s">
        <v>56</v>
      </c>
      <c r="B16" s="7">
        <v>12958</v>
      </c>
      <c r="C16" s="7">
        <v>8121</v>
      </c>
      <c r="D16" s="7">
        <v>7671</v>
      </c>
      <c r="E16" s="7">
        <v>6975</v>
      </c>
      <c r="F16" s="7">
        <v>6048</v>
      </c>
    </row>
    <row r="17" spans="1:6" ht="18" customHeight="1" x14ac:dyDescent="0.3">
      <c r="A17" s="4" t="s">
        <v>57</v>
      </c>
      <c r="B17" s="7">
        <v>7521</v>
      </c>
      <c r="C17" s="7">
        <v>7695</v>
      </c>
      <c r="D17" s="7">
        <v>7499</v>
      </c>
      <c r="E17" s="7">
        <v>7720</v>
      </c>
      <c r="F17" s="7">
        <v>6553</v>
      </c>
    </row>
    <row r="18" spans="1:6" ht="18" customHeight="1" x14ac:dyDescent="0.3">
      <c r="A18" s="4" t="s">
        <v>58</v>
      </c>
      <c r="B18" s="7">
        <v>5978</v>
      </c>
      <c r="C18" s="7">
        <v>5578</v>
      </c>
      <c r="D18" s="7">
        <v>4717</v>
      </c>
      <c r="E18" s="7">
        <v>4263</v>
      </c>
      <c r="F18" s="7">
        <v>3139</v>
      </c>
    </row>
    <row r="19" spans="1:6" ht="18" customHeight="1" x14ac:dyDescent="0.3">
      <c r="A19" s="4" t="s">
        <v>59</v>
      </c>
      <c r="B19" s="7">
        <v>40</v>
      </c>
      <c r="C19" s="7">
        <v>32</v>
      </c>
      <c r="D19" s="7">
        <v>30</v>
      </c>
      <c r="E19" s="7">
        <v>29</v>
      </c>
      <c r="F19" s="7">
        <v>27</v>
      </c>
    </row>
    <row r="20" spans="1:6" ht="18" customHeight="1" x14ac:dyDescent="0.3">
      <c r="A20" s="4" t="s">
        <v>60</v>
      </c>
      <c r="B20" s="7">
        <v>2600</v>
      </c>
      <c r="C20" s="7">
        <v>880</v>
      </c>
      <c r="D20" s="7">
        <v>617</v>
      </c>
      <c r="E20" s="7">
        <v>574</v>
      </c>
      <c r="F20" s="7">
        <v>544</v>
      </c>
    </row>
    <row r="21" spans="1:6" ht="18" customHeight="1" x14ac:dyDescent="0.3">
      <c r="A21" s="4" t="s">
        <v>61</v>
      </c>
      <c r="B21" s="7">
        <v>5322</v>
      </c>
      <c r="C21" s="7">
        <v>6791</v>
      </c>
      <c r="D21" s="7">
        <v>7693</v>
      </c>
      <c r="E21" s="7">
        <v>11797</v>
      </c>
      <c r="F21" s="7">
        <v>7834</v>
      </c>
    </row>
    <row r="22" spans="1:6" ht="17.25" customHeight="1" x14ac:dyDescent="0.3">
      <c r="A22" s="8" t="s">
        <v>62</v>
      </c>
      <c r="B22" s="9">
        <v>87383</v>
      </c>
      <c r="C22" s="9">
        <v>84472</v>
      </c>
      <c r="D22" s="9">
        <v>77395</v>
      </c>
      <c r="E22" s="9">
        <v>80415</v>
      </c>
      <c r="F22" s="9">
        <v>76174</v>
      </c>
    </row>
    <row r="23" spans="1:6" ht="14.25" customHeight="1" x14ac:dyDescent="0.3">
      <c r="A23" s="11"/>
      <c r="B23" s="12"/>
      <c r="C23" s="12"/>
      <c r="D23" s="12"/>
      <c r="E23" s="12"/>
      <c r="F23" s="12"/>
    </row>
    <row r="24" spans="1:6" ht="17.25" customHeight="1" x14ac:dyDescent="0.3">
      <c r="A24" s="4" t="s">
        <v>63</v>
      </c>
      <c r="B24" s="13"/>
      <c r="C24" s="7">
        <f>(B8+C8)/2</f>
        <v>12001.5</v>
      </c>
      <c r="D24" s="7">
        <f>(C8+D8)/2</f>
        <v>11237</v>
      </c>
      <c r="E24" s="7">
        <f>(D8+E8)/2</f>
        <v>10405</v>
      </c>
      <c r="F24" s="7">
        <f>(E8+F8)/2</f>
        <v>9360</v>
      </c>
    </row>
    <row r="25" spans="1:6" ht="14.25" customHeight="1" x14ac:dyDescent="0.3">
      <c r="A25" s="11"/>
      <c r="B25" s="12"/>
      <c r="C25" s="12"/>
      <c r="D25" s="12"/>
      <c r="E25" s="12"/>
      <c r="F25" s="12"/>
    </row>
    <row r="26" spans="1:6" ht="17.25" customHeight="1" x14ac:dyDescent="0.3">
      <c r="A26" s="14" t="s">
        <v>64</v>
      </c>
      <c r="B26" s="15"/>
      <c r="C26" s="15"/>
      <c r="D26" s="15"/>
      <c r="E26" s="15"/>
      <c r="F26" s="15"/>
    </row>
    <row r="27" spans="1:6" ht="35.25" customHeight="1" x14ac:dyDescent="0.3">
      <c r="A27" s="2" t="s">
        <v>37</v>
      </c>
      <c r="B27" s="3" t="s">
        <v>38</v>
      </c>
      <c r="C27" s="3" t="s">
        <v>39</v>
      </c>
      <c r="D27" s="3" t="s">
        <v>40</v>
      </c>
      <c r="E27" s="3" t="s">
        <v>41</v>
      </c>
      <c r="F27" s="3" t="s">
        <v>42</v>
      </c>
    </row>
    <row r="28" spans="1:6" ht="18" customHeight="1" x14ac:dyDescent="0.3">
      <c r="A28" s="4" t="s">
        <v>65</v>
      </c>
      <c r="B28" s="7">
        <v>7826</v>
      </c>
      <c r="C28" s="7">
        <v>8434</v>
      </c>
      <c r="D28" s="7">
        <v>6741</v>
      </c>
      <c r="E28" s="7">
        <v>6923</v>
      </c>
      <c r="F28" s="7">
        <v>5484</v>
      </c>
    </row>
    <row r="29" spans="1:6" ht="18" customHeight="1" x14ac:dyDescent="0.3">
      <c r="A29" s="4" t="s">
        <v>66</v>
      </c>
      <c r="B29" s="7">
        <v>2374</v>
      </c>
      <c r="C29" s="7">
        <v>2054</v>
      </c>
      <c r="D29" s="7">
        <v>1414</v>
      </c>
      <c r="E29" s="7">
        <v>1579</v>
      </c>
      <c r="F29" s="7">
        <v>1671</v>
      </c>
    </row>
    <row r="30" spans="1:6" ht="18" customHeight="1" x14ac:dyDescent="0.3">
      <c r="A30" s="4" t="s">
        <v>67</v>
      </c>
      <c r="B30" s="7">
        <v>248</v>
      </c>
      <c r="C30" s="7">
        <v>654</v>
      </c>
      <c r="D30" s="7" t="s">
        <v>20</v>
      </c>
      <c r="E30" s="7" t="s">
        <v>20</v>
      </c>
      <c r="F30" s="7" t="s">
        <v>20</v>
      </c>
    </row>
    <row r="31" spans="1:6" ht="18" customHeight="1" x14ac:dyDescent="0.3">
      <c r="A31" s="4" t="s">
        <v>68</v>
      </c>
      <c r="B31" s="7">
        <v>3677</v>
      </c>
      <c r="C31" s="7">
        <v>3615</v>
      </c>
      <c r="D31" s="7">
        <v>2597</v>
      </c>
      <c r="E31" s="7">
        <v>3200</v>
      </c>
      <c r="F31" s="7">
        <v>3167</v>
      </c>
    </row>
    <row r="32" spans="1:6" ht="18" customHeight="1" x14ac:dyDescent="0.3">
      <c r="A32" s="4" t="s">
        <v>69</v>
      </c>
      <c r="B32" s="7">
        <v>334</v>
      </c>
      <c r="C32" s="7">
        <v>329</v>
      </c>
      <c r="D32" s="7">
        <v>350</v>
      </c>
      <c r="E32" s="7">
        <v>340</v>
      </c>
      <c r="F32" s="7">
        <v>342</v>
      </c>
    </row>
    <row r="33" spans="1:6" ht="18" customHeight="1" x14ac:dyDescent="0.3">
      <c r="A33" s="4" t="s">
        <v>70</v>
      </c>
      <c r="B33" s="7">
        <v>1161</v>
      </c>
      <c r="C33" s="7">
        <v>995</v>
      </c>
      <c r="D33" s="7">
        <v>442</v>
      </c>
      <c r="E33" s="7">
        <v>404</v>
      </c>
      <c r="F33" s="7">
        <v>213</v>
      </c>
    </row>
    <row r="34" spans="1:6" ht="18" customHeight="1" x14ac:dyDescent="0.3">
      <c r="A34" s="4" t="s">
        <v>71</v>
      </c>
      <c r="B34" s="7">
        <v>1021</v>
      </c>
      <c r="C34" s="7">
        <v>1016</v>
      </c>
      <c r="D34" s="7">
        <v>853</v>
      </c>
      <c r="E34" s="7">
        <v>803</v>
      </c>
      <c r="F34" s="7">
        <v>709</v>
      </c>
    </row>
    <row r="35" spans="1:6" ht="18" customHeight="1" x14ac:dyDescent="0.3">
      <c r="A35" s="4" t="s">
        <v>72</v>
      </c>
      <c r="B35" s="7">
        <v>3440</v>
      </c>
      <c r="C35" s="7">
        <v>3343</v>
      </c>
      <c r="D35" s="7">
        <v>3474</v>
      </c>
      <c r="E35" s="7">
        <v>3790</v>
      </c>
      <c r="F35" s="7">
        <v>4825</v>
      </c>
    </row>
    <row r="36" spans="1:6" ht="18" customHeight="1" x14ac:dyDescent="0.3">
      <c r="A36" s="8" t="s">
        <v>73</v>
      </c>
      <c r="B36" s="9">
        <v>20081</v>
      </c>
      <c r="C36" s="9">
        <v>20440</v>
      </c>
      <c r="D36" s="9">
        <v>15871</v>
      </c>
      <c r="E36" s="9">
        <v>17039</v>
      </c>
      <c r="F36" s="9">
        <v>16411</v>
      </c>
    </row>
    <row r="37" spans="1:6" ht="18" customHeight="1" x14ac:dyDescent="0.3">
      <c r="A37" s="4" t="s">
        <v>74</v>
      </c>
      <c r="B37" s="7">
        <v>13799</v>
      </c>
      <c r="C37" s="7">
        <v>15192</v>
      </c>
      <c r="D37" s="7">
        <v>17101</v>
      </c>
      <c r="E37" s="7">
        <v>19132</v>
      </c>
      <c r="F37" s="7">
        <v>18488</v>
      </c>
    </row>
    <row r="38" spans="1:6" ht="18" customHeight="1" x14ac:dyDescent="0.3">
      <c r="A38" s="4" t="s">
        <v>75</v>
      </c>
      <c r="B38" s="7">
        <v>1078</v>
      </c>
      <c r="C38" s="7">
        <v>1159</v>
      </c>
      <c r="D38" s="7">
        <v>1299</v>
      </c>
      <c r="E38" s="7">
        <v>1323</v>
      </c>
      <c r="F38" s="7">
        <v>1212</v>
      </c>
    </row>
    <row r="39" spans="1:6" ht="18" customHeight="1" x14ac:dyDescent="0.3">
      <c r="A39" s="4" t="s">
        <v>76</v>
      </c>
      <c r="B39" s="7">
        <v>218</v>
      </c>
      <c r="C39" s="7">
        <v>192</v>
      </c>
      <c r="D39" s="7">
        <v>160</v>
      </c>
      <c r="E39" s="7">
        <v>217</v>
      </c>
      <c r="F39" s="7">
        <v>238</v>
      </c>
    </row>
    <row r="40" spans="1:6" ht="18" customHeight="1" x14ac:dyDescent="0.3">
      <c r="A40" s="4" t="s">
        <v>77</v>
      </c>
      <c r="B40" s="7">
        <v>6160</v>
      </c>
      <c r="C40" s="7">
        <v>2810</v>
      </c>
      <c r="D40" s="7">
        <v>2896</v>
      </c>
      <c r="E40" s="7">
        <v>2403</v>
      </c>
      <c r="F40" s="7">
        <v>1832</v>
      </c>
    </row>
    <row r="41" spans="1:6" ht="18" customHeight="1" x14ac:dyDescent="0.3">
      <c r="A41" s="4" t="s">
        <v>78</v>
      </c>
      <c r="B41" s="7">
        <v>1499</v>
      </c>
      <c r="C41" s="7">
        <v>1543</v>
      </c>
      <c r="D41" s="7">
        <v>1140</v>
      </c>
      <c r="E41" s="7">
        <v>1005</v>
      </c>
      <c r="F41" s="7">
        <v>953</v>
      </c>
    </row>
    <row r="42" spans="1:6" ht="18" customHeight="1" x14ac:dyDescent="0.3">
      <c r="A42" s="4" t="s">
        <v>79</v>
      </c>
      <c r="B42" s="7">
        <v>2467</v>
      </c>
      <c r="C42" s="7">
        <v>2213</v>
      </c>
      <c r="D42" s="7">
        <v>2283</v>
      </c>
      <c r="E42" s="7">
        <v>2413</v>
      </c>
      <c r="F42" s="7">
        <v>2703</v>
      </c>
    </row>
    <row r="43" spans="1:6" ht="17.25" customHeight="1" x14ac:dyDescent="0.3">
      <c r="A43" s="8" t="s">
        <v>80</v>
      </c>
      <c r="B43" s="9">
        <v>45302</v>
      </c>
      <c r="C43" s="9">
        <v>43549</v>
      </c>
      <c r="D43" s="9">
        <v>40750</v>
      </c>
      <c r="E43" s="9">
        <v>43532</v>
      </c>
      <c r="F43" s="9">
        <v>41837</v>
      </c>
    </row>
    <row r="44" spans="1:6" ht="17.25" customHeight="1" x14ac:dyDescent="0.3">
      <c r="A44" s="8" t="s">
        <v>81</v>
      </c>
      <c r="B44" s="9">
        <f>B30+B31+B37</f>
        <v>17724</v>
      </c>
      <c r="C44" s="9">
        <f>C30+C31+C37</f>
        <v>19461</v>
      </c>
      <c r="D44" s="9">
        <f>D31+D37</f>
        <v>19698</v>
      </c>
      <c r="E44" s="9">
        <f>E31+E37</f>
        <v>22332</v>
      </c>
      <c r="F44" s="9">
        <f>F31+F37</f>
        <v>21655</v>
      </c>
    </row>
    <row r="45" spans="1:6" ht="14.25" customHeight="1" x14ac:dyDescent="0.3">
      <c r="A45" s="11"/>
      <c r="B45" s="12"/>
      <c r="C45" s="12"/>
      <c r="D45" s="12"/>
      <c r="E45" s="12"/>
      <c r="F45" s="12"/>
    </row>
    <row r="46" spans="1:6" ht="17.25" customHeight="1" x14ac:dyDescent="0.3">
      <c r="A46" s="14" t="s">
        <v>82</v>
      </c>
      <c r="B46" s="15"/>
      <c r="C46" s="15"/>
      <c r="D46" s="15"/>
      <c r="E46" s="15"/>
      <c r="F46" s="15"/>
    </row>
    <row r="47" spans="1:6" ht="35.25" customHeight="1" x14ac:dyDescent="0.3">
      <c r="A47" s="2" t="s">
        <v>37</v>
      </c>
      <c r="B47" s="3" t="s">
        <v>38</v>
      </c>
      <c r="C47" s="3" t="s">
        <v>39</v>
      </c>
      <c r="D47" s="3" t="s">
        <v>40</v>
      </c>
      <c r="E47" s="3" t="s">
        <v>41</v>
      </c>
      <c r="F47" s="3" t="s">
        <v>42</v>
      </c>
    </row>
    <row r="48" spans="1:6" ht="18" customHeight="1" x14ac:dyDescent="0.3">
      <c r="A48" s="4" t="s">
        <v>83</v>
      </c>
      <c r="B48" s="7">
        <v>1176</v>
      </c>
      <c r="C48" s="7">
        <v>1144</v>
      </c>
      <c r="D48" s="7">
        <v>1142</v>
      </c>
      <c r="E48" s="7">
        <v>1142</v>
      </c>
      <c r="F48" s="7">
        <v>1142</v>
      </c>
    </row>
    <row r="49" spans="1:6" ht="18" customHeight="1" x14ac:dyDescent="0.3">
      <c r="A49" s="4" t="s">
        <v>84</v>
      </c>
      <c r="B49" s="7">
        <v>40365</v>
      </c>
      <c r="C49" s="7">
        <v>35453</v>
      </c>
      <c r="D49" s="7">
        <v>32517</v>
      </c>
      <c r="E49" s="7">
        <v>30883</v>
      </c>
      <c r="F49" s="7">
        <v>29931</v>
      </c>
    </row>
    <row r="50" spans="1:6" ht="18" customHeight="1" x14ac:dyDescent="0.3">
      <c r="A50" s="4" t="s">
        <v>85</v>
      </c>
      <c r="B50" s="7">
        <v>-749</v>
      </c>
      <c r="C50" s="7">
        <v>2976</v>
      </c>
      <c r="D50" s="7">
        <v>1618</v>
      </c>
      <c r="E50" s="7">
        <v>3574</v>
      </c>
      <c r="F50" s="7">
        <v>2121</v>
      </c>
    </row>
    <row r="51" spans="1:6" ht="18" customHeight="1" x14ac:dyDescent="0.3">
      <c r="A51" s="4" t="s">
        <v>86</v>
      </c>
      <c r="B51" s="7">
        <v>40792</v>
      </c>
      <c r="C51" s="7">
        <v>39573</v>
      </c>
      <c r="D51" s="7">
        <v>35277</v>
      </c>
      <c r="E51" s="7">
        <v>35599</v>
      </c>
      <c r="F51" s="7">
        <v>33194</v>
      </c>
    </row>
    <row r="52" spans="1:6" ht="18" customHeight="1" x14ac:dyDescent="0.3">
      <c r="A52" s="4" t="s">
        <v>87</v>
      </c>
      <c r="B52" s="7">
        <v>1289</v>
      </c>
      <c r="C52" s="7">
        <v>1350</v>
      </c>
      <c r="D52" s="7">
        <v>1368</v>
      </c>
      <c r="E52" s="7">
        <v>1284</v>
      </c>
      <c r="F52" s="7">
        <v>1143</v>
      </c>
    </row>
    <row r="53" spans="1:6" ht="18" customHeight="1" x14ac:dyDescent="0.3">
      <c r="A53" s="8" t="s">
        <v>82</v>
      </c>
      <c r="B53" s="9">
        <v>42081</v>
      </c>
      <c r="C53" s="9">
        <v>40923</v>
      </c>
      <c r="D53" s="9">
        <v>36645</v>
      </c>
      <c r="E53" s="9">
        <v>36883</v>
      </c>
      <c r="F53" s="9">
        <v>34337</v>
      </c>
    </row>
    <row r="54" spans="1:6" ht="17.25" customHeight="1" x14ac:dyDescent="0.3">
      <c r="A54" s="8" t="s">
        <v>88</v>
      </c>
      <c r="B54" s="9">
        <v>87383</v>
      </c>
      <c r="C54" s="9">
        <v>84472</v>
      </c>
      <c r="D54" s="9">
        <v>77395</v>
      </c>
      <c r="E54" s="9">
        <v>80415</v>
      </c>
      <c r="F54" s="9">
        <v>76174</v>
      </c>
    </row>
    <row r="55" spans="1:6" ht="17.25" customHeight="1" x14ac:dyDescent="0.3">
      <c r="A55" s="4"/>
      <c r="B55" s="12"/>
      <c r="C55" s="12"/>
      <c r="D55" s="12"/>
      <c r="E55" s="12"/>
      <c r="F55" s="12"/>
    </row>
    <row r="56" spans="1:6" ht="14.25" customHeight="1" x14ac:dyDescent="0.3">
      <c r="A56" s="11"/>
      <c r="B56" s="12"/>
      <c r="C56" s="12"/>
      <c r="D56" s="12"/>
      <c r="E56" s="12"/>
      <c r="F56" s="12"/>
    </row>
    <row r="57" spans="1:6" ht="17.25" customHeight="1" x14ac:dyDescent="0.3">
      <c r="A57" s="8" t="s">
        <v>89</v>
      </c>
      <c r="B57" s="16">
        <f>B22-B54</f>
        <v>0</v>
      </c>
      <c r="C57" s="16">
        <f>C22-C54</f>
        <v>0</v>
      </c>
      <c r="D57" s="16">
        <f>D22-D54</f>
        <v>0</v>
      </c>
      <c r="E57" s="16">
        <f>E22-E54</f>
        <v>0</v>
      </c>
      <c r="F57" s="16">
        <f>F22-F54</f>
        <v>0</v>
      </c>
    </row>
  </sheetData>
  <mergeCells count="1">
    <mergeCell ref="A1:F1"/>
  </mergeCells>
  <pageMargins left="0.7" right="0.7" top="0.75" bottom="0.75"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0"/>
  <sheetViews>
    <sheetView showGridLines="0" zoomScaleNormal="100" workbookViewId="0">
      <pane xSplit="1" ySplit="2" topLeftCell="B3" activePane="bottomRight" state="frozen"/>
      <selection pane="topRight" activeCell="B1" sqref="B1"/>
      <selection pane="bottomLeft" activeCell="A3" sqref="A3"/>
      <selection pane="bottomRight" activeCell="B42" sqref="B42"/>
    </sheetView>
  </sheetViews>
  <sheetFormatPr defaultColWidth="8.5546875" defaultRowHeight="14.25" customHeight="1" x14ac:dyDescent="0.3"/>
  <cols>
    <col min="1" max="1" width="48" customWidth="1"/>
    <col min="2" max="6" width="15" customWidth="1"/>
  </cols>
  <sheetData>
    <row r="1" spans="1:6" ht="24.75" customHeight="1" x14ac:dyDescent="0.3">
      <c r="A1" s="62" t="s">
        <v>90</v>
      </c>
      <c r="B1" s="62"/>
      <c r="C1" s="62"/>
      <c r="D1" s="62"/>
      <c r="E1" s="62"/>
      <c r="F1" s="62"/>
    </row>
    <row r="2" spans="1:6" s="1" customFormat="1" ht="18" customHeight="1" x14ac:dyDescent="0.3">
      <c r="A2" s="2" t="s">
        <v>37</v>
      </c>
      <c r="B2" s="3" t="s">
        <v>38</v>
      </c>
      <c r="C2" s="3" t="s">
        <v>39</v>
      </c>
      <c r="D2" s="3" t="s">
        <v>40</v>
      </c>
      <c r="E2" s="3" t="s">
        <v>41</v>
      </c>
      <c r="F2" s="3" t="s">
        <v>42</v>
      </c>
    </row>
    <row r="3" spans="1:6" ht="18" customHeight="1" x14ac:dyDescent="0.3">
      <c r="A3" s="4" t="s">
        <v>27</v>
      </c>
      <c r="B3" s="7">
        <f>'Income Statement'!B27</f>
        <v>5523</v>
      </c>
      <c r="C3" s="7">
        <f>'Income Statement'!C27</f>
        <v>-627</v>
      </c>
      <c r="D3" s="7">
        <f>'Income Statement'!D27</f>
        <v>225</v>
      </c>
      <c r="E3" s="7">
        <f>'Income Statement'!E27</f>
        <v>1298</v>
      </c>
      <c r="F3" s="7">
        <f>'Income Statement'!F27</f>
        <v>1619</v>
      </c>
    </row>
    <row r="4" spans="1:6" ht="18" customHeight="1" x14ac:dyDescent="0.3">
      <c r="A4" s="4" t="s">
        <v>91</v>
      </c>
      <c r="B4" s="7">
        <v>3518</v>
      </c>
      <c r="C4" s="7">
        <v>3800</v>
      </c>
      <c r="D4" s="7">
        <v>3769</v>
      </c>
      <c r="E4" s="7">
        <v>3647</v>
      </c>
      <c r="F4" s="7">
        <v>3580</v>
      </c>
    </row>
    <row r="5" spans="1:6" ht="18" customHeight="1" x14ac:dyDescent="0.3">
      <c r="A5" s="4" t="s">
        <v>92</v>
      </c>
      <c r="B5" s="7">
        <v>25</v>
      </c>
      <c r="C5" s="7">
        <v>27</v>
      </c>
      <c r="D5" s="7">
        <v>29</v>
      </c>
      <c r="E5" s="7" t="s">
        <v>20</v>
      </c>
      <c r="F5" s="7" t="s">
        <v>20</v>
      </c>
    </row>
    <row r="6" spans="1:6" ht="18" customHeight="1" x14ac:dyDescent="0.3">
      <c r="A6" s="4" t="s">
        <v>93</v>
      </c>
      <c r="B6" s="7">
        <v>-611</v>
      </c>
      <c r="C6" s="7">
        <v>-1</v>
      </c>
      <c r="D6" s="7">
        <v>-103</v>
      </c>
      <c r="E6" s="7">
        <v>-57</v>
      </c>
      <c r="F6" s="7">
        <v>-842</v>
      </c>
    </row>
    <row r="7" spans="1:6" ht="18" customHeight="1" x14ac:dyDescent="0.3">
      <c r="A7" s="4" t="s">
        <v>94</v>
      </c>
      <c r="B7" s="7">
        <v>144</v>
      </c>
      <c r="C7" s="7">
        <v>373</v>
      </c>
      <c r="D7" s="7">
        <v>1143</v>
      </c>
      <c r="E7" s="7">
        <v>753</v>
      </c>
      <c r="F7" s="7">
        <v>404</v>
      </c>
    </row>
    <row r="8" spans="1:6" ht="18" customHeight="1" x14ac:dyDescent="0.3">
      <c r="A8" s="4" t="s">
        <v>95</v>
      </c>
      <c r="B8" s="7" t="s">
        <v>20</v>
      </c>
      <c r="C8" s="7">
        <v>4499</v>
      </c>
      <c r="D8" s="7">
        <v>544</v>
      </c>
      <c r="E8" s="7">
        <v>-212</v>
      </c>
      <c r="F8" s="7">
        <v>276</v>
      </c>
    </row>
    <row r="9" spans="1:6" ht="18" customHeight="1" x14ac:dyDescent="0.3">
      <c r="A9" s="4" t="s">
        <v>96</v>
      </c>
      <c r="B9" s="7">
        <v>-1</v>
      </c>
      <c r="C9" s="7">
        <v>1688</v>
      </c>
      <c r="D9" s="7">
        <v>5</v>
      </c>
      <c r="E9" s="7">
        <v>398</v>
      </c>
      <c r="F9" s="7">
        <v>-230</v>
      </c>
    </row>
    <row r="10" spans="1:6" ht="18" customHeight="1" x14ac:dyDescent="0.3">
      <c r="A10" s="4" t="s">
        <v>97</v>
      </c>
      <c r="B10" s="7">
        <v>-1272</v>
      </c>
      <c r="C10" s="7">
        <v>219</v>
      </c>
      <c r="D10" s="7">
        <v>1443</v>
      </c>
      <c r="E10" s="7">
        <v>42</v>
      </c>
      <c r="F10" s="7">
        <v>530</v>
      </c>
    </row>
    <row r="11" spans="1:6" ht="18" customHeight="1" x14ac:dyDescent="0.3">
      <c r="A11" s="4" t="s">
        <v>98</v>
      </c>
      <c r="B11" s="7">
        <v>-3304</v>
      </c>
      <c r="C11" s="7">
        <v>-1991</v>
      </c>
      <c r="D11" s="7">
        <v>1896</v>
      </c>
      <c r="E11" s="7">
        <v>222</v>
      </c>
      <c r="F11" s="7">
        <v>263</v>
      </c>
    </row>
    <row r="12" spans="1:6" ht="18" customHeight="1" x14ac:dyDescent="0.3">
      <c r="A12" s="4" t="s">
        <v>99</v>
      </c>
      <c r="B12" s="7" t="s">
        <v>20</v>
      </c>
      <c r="C12" s="7">
        <v>451</v>
      </c>
      <c r="D12" s="7">
        <v>-1544</v>
      </c>
      <c r="E12" s="7">
        <v>96</v>
      </c>
      <c r="F12" s="7">
        <v>-736</v>
      </c>
    </row>
    <row r="13" spans="1:6" ht="18" customHeight="1" x14ac:dyDescent="0.3">
      <c r="A13" s="4" t="s">
        <v>100</v>
      </c>
      <c r="B13" s="7">
        <v>3223</v>
      </c>
      <c r="C13" s="7">
        <v>-729</v>
      </c>
      <c r="D13" s="7">
        <v>704</v>
      </c>
      <c r="E13" s="7">
        <v>511</v>
      </c>
      <c r="F13" s="7">
        <v>564</v>
      </c>
    </row>
    <row r="14" spans="1:6" ht="18" customHeight="1" x14ac:dyDescent="0.3">
      <c r="A14" s="8" t="s">
        <v>101</v>
      </c>
      <c r="B14" s="9">
        <v>7245</v>
      </c>
      <c r="C14" s="9">
        <v>7709</v>
      </c>
      <c r="D14" s="9">
        <v>8111</v>
      </c>
      <c r="E14" s="9">
        <v>6946</v>
      </c>
      <c r="F14" s="9">
        <v>5610</v>
      </c>
    </row>
    <row r="15" spans="1:6" ht="17.25" customHeight="1" x14ac:dyDescent="0.3">
      <c r="A15" s="4" t="s">
        <v>102</v>
      </c>
      <c r="B15" s="5">
        <v>0.33839999999999998</v>
      </c>
      <c r="C15" s="5">
        <v>6.4000000000000001E-2</v>
      </c>
      <c r="D15" s="5">
        <v>5.21E-2</v>
      </c>
      <c r="E15" s="6">
        <v>-0.14360000000000001</v>
      </c>
      <c r="F15" s="6">
        <v>-0.1923</v>
      </c>
    </row>
    <row r="16" spans="1:6" ht="14.25" customHeight="1" x14ac:dyDescent="0.3">
      <c r="A16" s="11"/>
      <c r="B16" s="12"/>
      <c r="C16" s="12"/>
      <c r="D16" s="12"/>
      <c r="E16" s="12"/>
      <c r="F16" s="12"/>
    </row>
    <row r="17" spans="1:6" ht="17.25" customHeight="1" x14ac:dyDescent="0.3">
      <c r="A17" s="17" t="s">
        <v>103</v>
      </c>
      <c r="B17" s="18"/>
      <c r="C17" s="18"/>
      <c r="D17" s="18"/>
      <c r="E17" s="18"/>
      <c r="F17" s="18"/>
    </row>
    <row r="18" spans="1:6" s="1" customFormat="1" ht="18" customHeight="1" x14ac:dyDescent="0.3">
      <c r="A18" s="2" t="s">
        <v>37</v>
      </c>
      <c r="B18" s="3" t="s">
        <v>38</v>
      </c>
      <c r="C18" s="3" t="s">
        <v>39</v>
      </c>
      <c r="D18" s="3" t="s">
        <v>40</v>
      </c>
      <c r="E18" s="3" t="s">
        <v>41</v>
      </c>
      <c r="F18" s="3" t="s">
        <v>42</v>
      </c>
    </row>
    <row r="19" spans="1:6" ht="18" customHeight="1" x14ac:dyDescent="0.3">
      <c r="A19" s="4" t="s">
        <v>104</v>
      </c>
      <c r="B19" s="7">
        <v>-3532</v>
      </c>
      <c r="C19" s="7">
        <v>-4375</v>
      </c>
      <c r="D19" s="7">
        <v>-5395</v>
      </c>
      <c r="E19" s="7">
        <v>-6198</v>
      </c>
      <c r="F19" s="7">
        <v>-4267</v>
      </c>
    </row>
    <row r="20" spans="1:6" ht="18" customHeight="1" x14ac:dyDescent="0.3">
      <c r="A20" s="4" t="s">
        <v>105</v>
      </c>
      <c r="B20" s="7">
        <v>-600</v>
      </c>
      <c r="C20" s="7">
        <v>-13</v>
      </c>
      <c r="D20" s="7">
        <v>-5</v>
      </c>
      <c r="E20" s="7">
        <v>-202</v>
      </c>
      <c r="F20" s="7">
        <v>-1</v>
      </c>
    </row>
    <row r="21" spans="1:6" ht="18" customHeight="1" x14ac:dyDescent="0.3">
      <c r="A21" s="4" t="s">
        <v>106</v>
      </c>
      <c r="B21" s="7">
        <v>1030</v>
      </c>
      <c r="C21" s="7">
        <v>691</v>
      </c>
      <c r="D21" s="7">
        <v>32</v>
      </c>
      <c r="E21" s="7">
        <v>75</v>
      </c>
      <c r="F21" s="7">
        <v>871</v>
      </c>
    </row>
    <row r="22" spans="1:6" ht="18" customHeight="1" x14ac:dyDescent="0.3">
      <c r="A22" s="4" t="s">
        <v>107</v>
      </c>
      <c r="B22" s="7">
        <v>-994</v>
      </c>
      <c r="C22" s="7">
        <v>-1273</v>
      </c>
      <c r="D22" s="7">
        <v>-1063</v>
      </c>
      <c r="E22" s="7">
        <v>436</v>
      </c>
      <c r="F22" s="7">
        <v>-1121</v>
      </c>
    </row>
    <row r="23" spans="1:6" ht="18" customHeight="1" x14ac:dyDescent="0.3">
      <c r="A23" s="4" t="s">
        <v>108</v>
      </c>
      <c r="B23" s="7">
        <v>1474</v>
      </c>
      <c r="C23" s="7">
        <v>1192</v>
      </c>
      <c r="D23" s="7">
        <v>1440</v>
      </c>
      <c r="E23" s="7">
        <v>808</v>
      </c>
      <c r="F23" s="7">
        <v>1310</v>
      </c>
    </row>
    <row r="24" spans="1:6" ht="17.25" customHeight="1" x14ac:dyDescent="0.3">
      <c r="A24" s="8" t="s">
        <v>109</v>
      </c>
      <c r="B24" s="9">
        <v>-2622</v>
      </c>
      <c r="C24" s="9">
        <v>-3778</v>
      </c>
      <c r="D24" s="9">
        <v>-4991</v>
      </c>
      <c r="E24" s="9">
        <v>-5081</v>
      </c>
      <c r="F24" s="9">
        <v>-3208</v>
      </c>
    </row>
    <row r="25" spans="1:6" ht="14.25" customHeight="1" x14ac:dyDescent="0.3">
      <c r="A25" s="11"/>
      <c r="B25" s="12"/>
      <c r="C25" s="12"/>
      <c r="D25" s="12"/>
      <c r="E25" s="12"/>
      <c r="F25" s="12"/>
    </row>
    <row r="26" spans="1:6" ht="17.25" customHeight="1" x14ac:dyDescent="0.3">
      <c r="A26" s="17" t="s">
        <v>110</v>
      </c>
      <c r="B26" s="18"/>
      <c r="C26" s="18"/>
      <c r="D26" s="18"/>
      <c r="E26" s="18"/>
      <c r="F26" s="18"/>
    </row>
    <row r="27" spans="1:6" s="1" customFormat="1" ht="18" customHeight="1" x14ac:dyDescent="0.3">
      <c r="A27" s="2" t="s">
        <v>37</v>
      </c>
      <c r="B27" s="3" t="s">
        <v>38</v>
      </c>
      <c r="C27" s="3" t="s">
        <v>39</v>
      </c>
      <c r="D27" s="3" t="s">
        <v>40</v>
      </c>
      <c r="E27" s="3" t="s">
        <v>41</v>
      </c>
      <c r="F27" s="3" t="s">
        <v>42</v>
      </c>
    </row>
    <row r="28" spans="1:6" ht="18" customHeight="1" x14ac:dyDescent="0.3">
      <c r="A28" s="4" t="s">
        <v>111</v>
      </c>
      <c r="B28" s="7">
        <v>7627</v>
      </c>
      <c r="C28" s="7">
        <v>10896</v>
      </c>
      <c r="D28" s="7">
        <v>9503</v>
      </c>
      <c r="E28" s="7">
        <v>6362</v>
      </c>
      <c r="F28" s="7">
        <v>6394</v>
      </c>
    </row>
    <row r="29" spans="1:6" ht="18" customHeight="1" x14ac:dyDescent="0.3">
      <c r="A29" s="4" t="s">
        <v>112</v>
      </c>
      <c r="B29" s="7">
        <v>-10772</v>
      </c>
      <c r="C29" s="7">
        <v>-10330</v>
      </c>
      <c r="D29" s="7">
        <v>-9244</v>
      </c>
      <c r="E29" s="7">
        <v>-4579</v>
      </c>
      <c r="F29" s="7">
        <v>-6369</v>
      </c>
    </row>
    <row r="30" spans="1:6" ht="18" customHeight="1" x14ac:dyDescent="0.3">
      <c r="A30" s="8" t="s">
        <v>113</v>
      </c>
      <c r="B30" s="9">
        <v>-3145</v>
      </c>
      <c r="C30" s="9">
        <v>566</v>
      </c>
      <c r="D30" s="9">
        <v>259</v>
      </c>
      <c r="E30" s="9">
        <v>1783</v>
      </c>
      <c r="F30" s="9">
        <v>25</v>
      </c>
    </row>
    <row r="31" spans="1:6" ht="18" customHeight="1" x14ac:dyDescent="0.3">
      <c r="A31" s="4" t="s">
        <v>114</v>
      </c>
      <c r="B31" s="7" t="s">
        <v>20</v>
      </c>
      <c r="C31" s="7">
        <v>-1331</v>
      </c>
      <c r="D31" s="7">
        <v>-70</v>
      </c>
      <c r="E31" s="7">
        <v>-46</v>
      </c>
      <c r="F31" s="7">
        <v>-355</v>
      </c>
    </row>
    <row r="32" spans="1:6" ht="18" customHeight="1" x14ac:dyDescent="0.3">
      <c r="A32" s="4" t="s">
        <v>115</v>
      </c>
      <c r="B32" s="7">
        <v>-3031</v>
      </c>
      <c r="C32" s="7">
        <v>-3072</v>
      </c>
      <c r="D32" s="7">
        <v>-3034</v>
      </c>
      <c r="E32" s="7">
        <v>-3035</v>
      </c>
      <c r="F32" s="7">
        <v>-2086</v>
      </c>
    </row>
    <row r="33" spans="1:6" ht="18" customHeight="1" x14ac:dyDescent="0.3">
      <c r="A33" s="4" t="s">
        <v>116</v>
      </c>
      <c r="B33" s="7">
        <v>-281</v>
      </c>
      <c r="C33" s="7">
        <v>-176</v>
      </c>
      <c r="D33" s="7">
        <v>-60</v>
      </c>
      <c r="E33" s="7">
        <v>-249</v>
      </c>
      <c r="F33" s="7" t="s">
        <v>20</v>
      </c>
    </row>
    <row r="34" spans="1:6" ht="17.25" customHeight="1" x14ac:dyDescent="0.3">
      <c r="A34" s="8" t="s">
        <v>117</v>
      </c>
      <c r="B34" s="9">
        <v>-6457</v>
      </c>
      <c r="C34" s="9">
        <v>-4013</v>
      </c>
      <c r="D34" s="9">
        <v>-2905</v>
      </c>
      <c r="E34" s="9">
        <v>-1547</v>
      </c>
      <c r="F34" s="9">
        <v>-2416</v>
      </c>
    </row>
    <row r="35" spans="1:6" ht="14.25" customHeight="1" x14ac:dyDescent="0.3">
      <c r="A35" s="11"/>
      <c r="B35" s="12"/>
      <c r="C35" s="12"/>
      <c r="D35" s="12"/>
      <c r="E35" s="12"/>
      <c r="F35" s="12"/>
    </row>
    <row r="36" spans="1:6" ht="14.25" customHeight="1" x14ac:dyDescent="0.3">
      <c r="A36" s="11"/>
      <c r="B36" s="12"/>
      <c r="C36" s="12"/>
      <c r="D36" s="12"/>
      <c r="E36" s="12"/>
      <c r="F36" s="12"/>
    </row>
    <row r="37" spans="1:6" s="1" customFormat="1" ht="18" customHeight="1" x14ac:dyDescent="0.3">
      <c r="A37" s="2" t="s">
        <v>37</v>
      </c>
      <c r="B37" s="3" t="s">
        <v>38</v>
      </c>
      <c r="C37" s="3" t="s">
        <v>39</v>
      </c>
      <c r="D37" s="3" t="s">
        <v>40</v>
      </c>
      <c r="E37" s="3" t="s">
        <v>41</v>
      </c>
      <c r="F37" s="3" t="s">
        <v>42</v>
      </c>
    </row>
    <row r="38" spans="1:6" ht="18" customHeight="1" x14ac:dyDescent="0.3">
      <c r="A38" s="4" t="s">
        <v>118</v>
      </c>
      <c r="B38" s="7">
        <v>131</v>
      </c>
      <c r="C38" s="7">
        <v>-25</v>
      </c>
      <c r="D38" s="7">
        <v>-106</v>
      </c>
      <c r="E38" s="7">
        <v>-21</v>
      </c>
      <c r="F38" s="7">
        <v>-88</v>
      </c>
    </row>
    <row r="39" spans="1:6" ht="18" customHeight="1" x14ac:dyDescent="0.3">
      <c r="A39" s="4" t="s">
        <v>119</v>
      </c>
      <c r="B39" s="7">
        <v>-8</v>
      </c>
      <c r="C39" s="7">
        <v>-1</v>
      </c>
      <c r="D39" s="7" t="s">
        <v>20</v>
      </c>
      <c r="E39" s="7" t="s">
        <v>20</v>
      </c>
      <c r="F39" s="7">
        <v>-1</v>
      </c>
    </row>
    <row r="40" spans="1:6" ht="17.25" customHeight="1" x14ac:dyDescent="0.3">
      <c r="A40" s="8" t="s">
        <v>120</v>
      </c>
      <c r="B40" s="9">
        <v>-1711</v>
      </c>
      <c r="C40" s="9">
        <v>-108</v>
      </c>
      <c r="D40" s="9">
        <v>109</v>
      </c>
      <c r="E40" s="9">
        <v>297</v>
      </c>
      <c r="F40" s="9">
        <v>-103</v>
      </c>
    </row>
  </sheetData>
  <mergeCells count="1">
    <mergeCell ref="A1:F1"/>
  </mergeCells>
  <pageMargins left="0.7" right="0.7" top="0.75" bottom="0.75"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56"/>
  <sheetViews>
    <sheetView showGridLines="0" tabSelected="1" topLeftCell="A252" zoomScaleNormal="100" workbookViewId="0">
      <selection activeCell="H261" sqref="H261"/>
    </sheetView>
  </sheetViews>
  <sheetFormatPr defaultColWidth="8.5546875" defaultRowHeight="14.25" customHeight="1" x14ac:dyDescent="0.3"/>
  <cols>
    <col min="1" max="1" width="48" customWidth="1"/>
    <col min="2" max="6" width="15" customWidth="1"/>
  </cols>
  <sheetData>
    <row r="1" spans="1:6" ht="27.75" customHeight="1" x14ac:dyDescent="0.3">
      <c r="A1" s="62" t="s">
        <v>121</v>
      </c>
      <c r="B1" s="62"/>
      <c r="C1" s="19"/>
      <c r="D1" s="19"/>
      <c r="E1" s="19"/>
      <c r="F1" s="19"/>
    </row>
    <row r="2" spans="1:6" ht="18" customHeight="1" x14ac:dyDescent="0.3">
      <c r="A2" s="11"/>
      <c r="B2" s="12"/>
      <c r="C2" s="12"/>
      <c r="D2" s="12"/>
      <c r="E2" s="12"/>
      <c r="F2" s="12"/>
    </row>
    <row r="3" spans="1:6" s="1" customFormat="1" ht="18" customHeight="1" x14ac:dyDescent="0.3">
      <c r="A3" s="20" t="s">
        <v>122</v>
      </c>
      <c r="B3" s="21" t="s">
        <v>123</v>
      </c>
      <c r="C3" s="21" t="s">
        <v>124</v>
      </c>
      <c r="D3" s="21" t="s">
        <v>125</v>
      </c>
      <c r="E3" s="21" t="s">
        <v>126</v>
      </c>
      <c r="F3" s="21" t="s">
        <v>127</v>
      </c>
    </row>
    <row r="4" spans="1:6" ht="18" customHeight="1" x14ac:dyDescent="0.3">
      <c r="A4" s="11" t="s">
        <v>1</v>
      </c>
      <c r="B4" s="23">
        <f>'Income Statement'!B2</f>
        <v>78598</v>
      </c>
      <c r="C4" s="23">
        <f>'Income Statement'!C2</f>
        <v>87327</v>
      </c>
      <c r="D4" s="23">
        <f>'Income Statement'!D2</f>
        <v>68902</v>
      </c>
      <c r="E4" s="23">
        <f>'Income Statement'!E2</f>
        <v>61444</v>
      </c>
      <c r="F4" s="24">
        <f>'Income Statement'!F2</f>
        <v>59657</v>
      </c>
    </row>
    <row r="5" spans="1:6" ht="18" customHeight="1" x14ac:dyDescent="0.3">
      <c r="A5" s="11" t="s">
        <v>2</v>
      </c>
      <c r="B5" s="12"/>
      <c r="C5" s="25">
        <f>(C4-B4)/B4</f>
        <v>0.11105880556757169</v>
      </c>
      <c r="D5" s="25">
        <f>(D4-C4)/C4</f>
        <v>-0.21098858314152552</v>
      </c>
      <c r="E5" s="25">
        <f>(E4-D4)/D4</f>
        <v>-0.10824068967519085</v>
      </c>
      <c r="F5" s="25">
        <f>(F4-E4)/E4</f>
        <v>-2.9083393008267691E-2</v>
      </c>
    </row>
    <row r="6" spans="1:6" ht="18" customHeight="1" x14ac:dyDescent="0.3">
      <c r="A6" s="11" t="s">
        <v>128</v>
      </c>
      <c r="B6" s="25">
        <f>'Income Statement'!B4/'Income Statement'!B2</f>
        <v>0.75181302323214327</v>
      </c>
      <c r="C6" s="25">
        <f>'Income Statement'!C4/'Income Statement'!C2</f>
        <v>0.76376149415415617</v>
      </c>
      <c r="D6" s="25">
        <f>'Income Statement'!D4/'Income Statement'!D2</f>
        <v>0.76203883776958581</v>
      </c>
      <c r="E6" s="25">
        <f>'Income Statement'!E4/'Income Statement'!E2</f>
        <v>0.75734001692598141</v>
      </c>
      <c r="F6" s="26">
        <f>'Income Statement'!F4/'Income Statement'!F2</f>
        <v>0.76314598454498217</v>
      </c>
    </row>
    <row r="7" spans="1:6" ht="18" customHeight="1" x14ac:dyDescent="0.3">
      <c r="A7" s="11" t="s">
        <v>129</v>
      </c>
      <c r="B7" s="25">
        <f>'Income Statement'!B5/'Income Statement'!B2</f>
        <v>0.2481869767678567</v>
      </c>
      <c r="C7" s="25">
        <f>'Income Statement'!C5/'Income Statement'!C2</f>
        <v>0.23623850584584377</v>
      </c>
      <c r="D7" s="25">
        <f>'Income Statement'!D5/'Income Statement'!D2</f>
        <v>0.23796116223041422</v>
      </c>
      <c r="E7" s="25">
        <f>'Income Statement'!E5/'Income Statement'!E2</f>
        <v>0.24265998307401862</v>
      </c>
      <c r="F7" s="25">
        <f>'Income Statement'!F5/'Income Statement'!F2</f>
        <v>0.23685401545501786</v>
      </c>
    </row>
    <row r="8" spans="1:6" ht="18" customHeight="1" x14ac:dyDescent="0.3">
      <c r="A8" s="11" t="s">
        <v>130</v>
      </c>
      <c r="B8" s="25">
        <f>'Income Statement'!B9/'Income Statement'!B2</f>
        <v>0.15318455940354717</v>
      </c>
      <c r="C8" s="25">
        <f>'Income Statement'!C9/'Income Statement'!C2</f>
        <v>0.15772899561418577</v>
      </c>
      <c r="D8" s="25">
        <f>'Income Statement'!D9/'Income Statement'!D2</f>
        <v>0.1967286871208383</v>
      </c>
      <c r="E8" s="25">
        <f>'Income Statement'!E9/'Income Statement'!E2</f>
        <v>0.20223292754377969</v>
      </c>
      <c r="F8" s="26">
        <f>'Income Statement'!F9/'Income Statement'!F2</f>
        <v>0.19540037212732789</v>
      </c>
    </row>
    <row r="9" spans="1:6" ht="18" customHeight="1" x14ac:dyDescent="0.3">
      <c r="A9" s="11" t="s">
        <v>131</v>
      </c>
      <c r="B9" s="25">
        <f>'Income Statement'!B10/'Income Statement'!B2</f>
        <v>9.5002417364309519E-2</v>
      </c>
      <c r="C9" s="25">
        <f>'Income Statement'!C10/'Income Statement'!C2</f>
        <v>7.8509510231658017E-2</v>
      </c>
      <c r="D9" s="25">
        <f>'Income Statement'!D10/'Income Statement'!D2</f>
        <v>4.1232475109575922E-2</v>
      </c>
      <c r="E9" s="25">
        <f>'Income Statement'!E10/'Income Statement'!E2</f>
        <v>4.0427055530238919E-2</v>
      </c>
      <c r="F9" s="26">
        <f>'Income Statement'!F10/'Income Statement'!F2</f>
        <v>4.1453643327689964E-2</v>
      </c>
    </row>
    <row r="10" spans="1:6" ht="18" customHeight="1" x14ac:dyDescent="0.3">
      <c r="A10" s="11" t="s">
        <v>132</v>
      </c>
      <c r="B10" s="25">
        <f>'Income Statement'!B27/'Income Statement'!B2</f>
        <v>7.0268963586859717E-2</v>
      </c>
      <c r="C10" s="25">
        <f>'Income Statement'!C27/'Income Statement'!C2</f>
        <v>-7.1799099934728092E-3</v>
      </c>
      <c r="D10" s="25">
        <f>'Income Statement'!D27/'Income Statement'!D2</f>
        <v>3.265507532437375E-3</v>
      </c>
      <c r="E10" s="25">
        <f>'Income Statement'!E27/'Income Statement'!E2</f>
        <v>2.112492676258056E-2</v>
      </c>
      <c r="F10" s="26">
        <f>'Income Statement'!F27/'Income Statement'!F2</f>
        <v>2.7138474948455338E-2</v>
      </c>
    </row>
    <row r="11" spans="1:6" ht="18" customHeight="1" x14ac:dyDescent="0.3">
      <c r="A11" s="11" t="s">
        <v>133</v>
      </c>
      <c r="B11" s="25">
        <f>('Income Statement'!B10+'Cash Flow'!B4)/'Income Statement'!B2</f>
        <v>0.13976182600066159</v>
      </c>
      <c r="C11" s="25">
        <f>('Income Statement'!C10+'Cash Flow'!C4)/'Income Statement'!C2</f>
        <v>0.12202411625270534</v>
      </c>
      <c r="D11" s="25">
        <f>('Income Statement'!D10+'Cash Flow'!D4)/'Income Statement'!D2</f>
        <v>9.5933354619604658E-2</v>
      </c>
      <c r="E11" s="25">
        <f>('Income Statement'!E10+'Cash Flow'!E4)/'Income Statement'!E2</f>
        <v>9.9781915239893243E-2</v>
      </c>
      <c r="F11" s="26">
        <f>('Income Statement'!F10+'Cash Flow'!F4)/'Income Statement'!F2</f>
        <v>0.10146336557319342</v>
      </c>
    </row>
    <row r="12" spans="1:6" ht="18" customHeight="1" x14ac:dyDescent="0.3">
      <c r="A12" s="11" t="s">
        <v>134</v>
      </c>
      <c r="B12" s="25">
        <f>'Income Statement'!B11/'Income Statement'!B2</f>
        <v>-6.4378228453650221E-3</v>
      </c>
      <c r="C12" s="25">
        <f>'Income Statement'!C11/'Income Statement'!C2</f>
        <v>-7.2257148419160172E-3</v>
      </c>
      <c r="D12" s="25">
        <f>'Income Statement'!D11/'Income Statement'!D2</f>
        <v>-1.259760239180285E-2</v>
      </c>
      <c r="E12" s="25">
        <f>'Income Statement'!E11/'Income Statement'!E2</f>
        <v>-1.5119458368595795E-2</v>
      </c>
      <c r="F12" s="26">
        <f>'Income Statement'!F11/'Income Statement'!F2</f>
        <v>-1.5488542836548939E-2</v>
      </c>
    </row>
    <row r="13" spans="1:6" ht="18" customHeight="1" x14ac:dyDescent="0.3">
      <c r="A13" s="11" t="s">
        <v>135</v>
      </c>
      <c r="B13" s="25">
        <f>'Income Statement'!B22/'Income Statement'!B21</f>
        <v>0.19199785177228787</v>
      </c>
      <c r="C13" s="25">
        <f>'Income Statement'!C22/'Income Statement'!C21</f>
        <v>1.3285714285714285</v>
      </c>
      <c r="D13" s="25">
        <f>'Income Statement'!D22/'Income Statement'!D21</f>
        <v>0.7330985915492958</v>
      </c>
      <c r="E13" s="25">
        <f>'Income Statement'!E22/'Income Statement'!E21</f>
        <v>0.30789897904352498</v>
      </c>
      <c r="F13" s="26">
        <f>'Income Statement'!F22/'Income Statement'!F21</f>
        <v>0.37050653594771243</v>
      </c>
    </row>
    <row r="14" spans="1:6" ht="18" customHeight="1" x14ac:dyDescent="0.3">
      <c r="A14" s="11"/>
      <c r="B14" s="12"/>
      <c r="C14" s="12"/>
      <c r="D14" s="12"/>
      <c r="E14" s="12"/>
      <c r="F14" s="12"/>
    </row>
    <row r="15" spans="1:6" s="1" customFormat="1" ht="18" customHeight="1" x14ac:dyDescent="0.3">
      <c r="A15" s="20" t="s">
        <v>136</v>
      </c>
      <c r="B15" s="21" t="s">
        <v>123</v>
      </c>
      <c r="C15" s="21" t="s">
        <v>124</v>
      </c>
      <c r="D15" s="21" t="s">
        <v>125</v>
      </c>
      <c r="E15" s="21" t="s">
        <v>126</v>
      </c>
      <c r="F15" s="21" t="s">
        <v>127</v>
      </c>
    </row>
    <row r="16" spans="1:6" ht="18" customHeight="1" x14ac:dyDescent="0.3">
      <c r="A16" s="11" t="s">
        <v>137</v>
      </c>
      <c r="B16" s="23">
        <f>'Balance Sheet'!B14-'Balance Sheet'!B36</f>
        <v>14970</v>
      </c>
      <c r="C16" s="23">
        <f>'Balance Sheet'!C14-'Balance Sheet'!C36</f>
        <v>16982</v>
      </c>
      <c r="D16" s="23">
        <f>'Balance Sheet'!D14-'Balance Sheet'!D36</f>
        <v>15601</v>
      </c>
      <c r="E16" s="23">
        <f>'Balance Sheet'!E14-'Balance Sheet'!E36</f>
        <v>14193</v>
      </c>
      <c r="F16" s="24">
        <f>'Balance Sheet'!F14-'Balance Sheet'!F36</f>
        <v>15273</v>
      </c>
    </row>
    <row r="17" spans="1:6" ht="18" customHeight="1" x14ac:dyDescent="0.3">
      <c r="A17" s="11" t="s">
        <v>138</v>
      </c>
      <c r="B17" s="25">
        <f>B16/B4</f>
        <v>0.19046286165042367</v>
      </c>
      <c r="C17" s="25">
        <f>C16/C4</f>
        <v>0.19446448406563835</v>
      </c>
      <c r="D17" s="25">
        <f>D16/D4</f>
        <v>0.22642303561580215</v>
      </c>
      <c r="E17" s="25">
        <f>E16/E4</f>
        <v>0.23099082091009701</v>
      </c>
      <c r="F17" s="26">
        <f>F16/F4</f>
        <v>0.25601354409373583</v>
      </c>
    </row>
    <row r="18" spans="1:6" ht="18" customHeight="1" x14ac:dyDescent="0.3">
      <c r="A18" s="11" t="s">
        <v>139</v>
      </c>
      <c r="B18" s="27">
        <f>'Balance Sheet'!B14/'Balance Sheet'!B36</f>
        <v>1.7454808027488671</v>
      </c>
      <c r="C18" s="27">
        <f>'Balance Sheet'!C14/'Balance Sheet'!C36</f>
        <v>1.8308219178082192</v>
      </c>
      <c r="D18" s="27">
        <f>'Balance Sheet'!D14/'Balance Sheet'!D36</f>
        <v>1.9829878394556109</v>
      </c>
      <c r="E18" s="27">
        <f>'Balance Sheet'!E14/'Balance Sheet'!E36</f>
        <v>1.832971418510476</v>
      </c>
      <c r="F18" s="12">
        <f>'Balance Sheet'!F14/'Balance Sheet'!F36</f>
        <v>1.9306562671378953</v>
      </c>
    </row>
    <row r="19" spans="1:6" ht="18" customHeight="1" x14ac:dyDescent="0.3">
      <c r="A19" s="11" t="s">
        <v>140</v>
      </c>
      <c r="B19" s="27">
        <f>('Balance Sheet'!B14-'Balance Sheet'!B11)/'Balance Sheet'!B36</f>
        <v>1.0548777451322144</v>
      </c>
      <c r="C19" s="27">
        <f>('Balance Sheet'!C14-'Balance Sheet'!C11)/'Balance Sheet'!C36</f>
        <v>1.0466731898238748</v>
      </c>
      <c r="D19" s="27">
        <f>('Balance Sheet'!D14-'Balance Sheet'!D11)/'Balance Sheet'!D36</f>
        <v>1.1086888034780418</v>
      </c>
      <c r="E19" s="27">
        <f>('Balance Sheet'!E14-'Balance Sheet'!E11)/'Balance Sheet'!E36</f>
        <v>1.0300487117788604</v>
      </c>
      <c r="F19" s="12">
        <f>('Balance Sheet'!F14-'Balance Sheet'!F11)/'Balance Sheet'!F36</f>
        <v>1.1892023642678691</v>
      </c>
    </row>
    <row r="20" spans="1:6" ht="18" customHeight="1" x14ac:dyDescent="0.3">
      <c r="A20" s="11" t="s">
        <v>141</v>
      </c>
      <c r="B20" s="27">
        <f>'Balance Sheet'!B3/'Balance Sheet'!B36</f>
        <v>0.13067078332752352</v>
      </c>
      <c r="C20" s="27">
        <f>'Balance Sheet'!C3/'Balance Sheet'!C36</f>
        <v>0.12309197651663405</v>
      </c>
      <c r="D20" s="27">
        <f>'Balance Sheet'!D3/'Balance Sheet'!D36</f>
        <v>0.16533299729065593</v>
      </c>
      <c r="E20" s="27">
        <f>'Balance Sheet'!E3/'Balance Sheet'!E36</f>
        <v>0.17101942602265391</v>
      </c>
      <c r="F20" s="12">
        <f>'Balance Sheet'!F3/'Balance Sheet'!F36</f>
        <v>0.16269575284869905</v>
      </c>
    </row>
    <row r="21" spans="1:6" ht="18" customHeight="1" x14ac:dyDescent="0.3">
      <c r="A21" s="11" t="s">
        <v>81</v>
      </c>
      <c r="B21" s="23">
        <f>'Balance Sheet'!B44</f>
        <v>17724</v>
      </c>
      <c r="C21" s="23">
        <f>'Balance Sheet'!C44</f>
        <v>19461</v>
      </c>
      <c r="D21" s="23">
        <f>'Balance Sheet'!D44</f>
        <v>19698</v>
      </c>
      <c r="E21" s="23">
        <f>'Balance Sheet'!E44</f>
        <v>22332</v>
      </c>
      <c r="F21" s="24">
        <f>'Balance Sheet'!F44</f>
        <v>21655</v>
      </c>
    </row>
    <row r="22" spans="1:6" ht="18" customHeight="1" x14ac:dyDescent="0.3">
      <c r="A22" s="11" t="s">
        <v>142</v>
      </c>
      <c r="B22" s="27">
        <f>B21/'Balance Sheet'!B53</f>
        <v>0.42118770941755185</v>
      </c>
      <c r="C22" s="27">
        <f>C21/'Balance Sheet'!C53</f>
        <v>0.47555164577377024</v>
      </c>
      <c r="D22" s="27">
        <f>D21/'Balance Sheet'!D53</f>
        <v>0.53753581661891114</v>
      </c>
      <c r="E22" s="27">
        <f>E21/'Balance Sheet'!E53</f>
        <v>0.60548220047176204</v>
      </c>
      <c r="F22" s="12">
        <f>F21/'Balance Sheet'!F53</f>
        <v>0.63066080321519058</v>
      </c>
    </row>
    <row r="23" spans="1:6" ht="18" customHeight="1" x14ac:dyDescent="0.3">
      <c r="A23" s="11" t="s">
        <v>143</v>
      </c>
      <c r="B23" s="25">
        <f>'Financial Forecasting'!B21/'Balance Sheet'!B22</f>
        <v>0.20283121430941944</v>
      </c>
      <c r="C23" s="25">
        <f>C21/'Balance Sheet'!C22</f>
        <v>0.23038403257884268</v>
      </c>
      <c r="D23" s="25">
        <f>D21/'Balance Sheet'!D22</f>
        <v>0.25451256541120226</v>
      </c>
      <c r="E23" s="25">
        <f>E21/'Balance Sheet'!E22</f>
        <v>0.27770938257787725</v>
      </c>
      <c r="F23" s="12">
        <f>'Financial Forecasting'!F21/'Balance Sheet'!F22</f>
        <v>0.28428335127471316</v>
      </c>
    </row>
    <row r="24" spans="1:6" ht="18" customHeight="1" x14ac:dyDescent="0.3">
      <c r="A24" s="11" t="s">
        <v>144</v>
      </c>
      <c r="B24" s="25">
        <f>'Balance Sheet'!B53/'Balance Sheet'!B22</f>
        <v>0.48156964169232003</v>
      </c>
      <c r="C24" s="25">
        <f>'Balance Sheet'!C53/'Balance Sheet'!C22</f>
        <v>0.48445638791552231</v>
      </c>
      <c r="D24" s="25">
        <f>'Balance Sheet'!D53/'Balance Sheet'!D22</f>
        <v>0.47348019897926225</v>
      </c>
      <c r="E24" s="25">
        <f>'Balance Sheet'!E53/'Balance Sheet'!E22</f>
        <v>0.45865821053286077</v>
      </c>
      <c r="F24" s="12">
        <f>'Balance Sheet'!F53/'Balance Sheet'!F22</f>
        <v>0.45077060414314596</v>
      </c>
    </row>
    <row r="25" spans="1:6" ht="18" customHeight="1" x14ac:dyDescent="0.3">
      <c r="A25" s="11" t="s">
        <v>145</v>
      </c>
      <c r="B25" s="23">
        <f>'Financial Forecasting'!B21-'Balance Sheet'!B3</f>
        <v>15100</v>
      </c>
      <c r="C25" s="23">
        <f>C21-'Balance Sheet'!C3</f>
        <v>16945</v>
      </c>
      <c r="D25" s="23">
        <f>'Financial Forecasting'!D21-'Balance Sheet'!D3</f>
        <v>17074</v>
      </c>
      <c r="E25" s="23">
        <f>'Financial Forecasting'!E21-'Balance Sheet'!E3</f>
        <v>19418</v>
      </c>
      <c r="F25" s="24">
        <f>F21-'Balance Sheet'!F3</f>
        <v>18985</v>
      </c>
    </row>
    <row r="26" spans="1:6" ht="18" customHeight="1" x14ac:dyDescent="0.3">
      <c r="A26" s="11" t="s">
        <v>146</v>
      </c>
      <c r="B26" s="23">
        <f>'Income Statement'!B10+'Cash Flow'!B4</f>
        <v>10985</v>
      </c>
      <c r="C26" s="23">
        <f>'Income Statement'!C10+'Cash Flow'!C4</f>
        <v>10656</v>
      </c>
      <c r="D26" s="23">
        <f>'Income Statement'!D10+'Cash Flow'!D4</f>
        <v>6610</v>
      </c>
      <c r="E26" s="23">
        <f>'Income Statement'!E10+'Cash Flow'!E4</f>
        <v>6131</v>
      </c>
      <c r="F26" s="24">
        <f>'Income Statement'!F10+'Cash Flow'!F4</f>
        <v>6053</v>
      </c>
    </row>
    <row r="27" spans="1:6" ht="18" customHeight="1" x14ac:dyDescent="0.3">
      <c r="A27" s="11" t="s">
        <v>147</v>
      </c>
      <c r="B27" s="27">
        <f>B25/B26</f>
        <v>1.3746017296313153</v>
      </c>
      <c r="C27" s="27">
        <f>C25/C26</f>
        <v>1.5901839339339339</v>
      </c>
      <c r="D27" s="27">
        <f>D25/D26</f>
        <v>2.5830559757942511</v>
      </c>
      <c r="E27" s="27">
        <f>E25/E26</f>
        <v>3.1671831675093784</v>
      </c>
      <c r="F27" s="12">
        <f>F25/F26</f>
        <v>3.1364612588798941</v>
      </c>
    </row>
    <row r="28" spans="1:6" ht="18" customHeight="1" x14ac:dyDescent="0.3">
      <c r="A28" s="11"/>
      <c r="B28" s="25"/>
      <c r="C28" s="25"/>
      <c r="D28" s="25"/>
      <c r="E28" s="25"/>
      <c r="F28" s="25"/>
    </row>
    <row r="29" spans="1:6" s="1" customFormat="1" ht="18" customHeight="1" x14ac:dyDescent="0.3">
      <c r="A29" s="20" t="s">
        <v>148</v>
      </c>
      <c r="B29" s="21" t="s">
        <v>123</v>
      </c>
      <c r="C29" s="21" t="s">
        <v>124</v>
      </c>
      <c r="D29" s="21" t="s">
        <v>125</v>
      </c>
      <c r="E29" s="21" t="s">
        <v>126</v>
      </c>
      <c r="F29" s="21" t="s">
        <v>127</v>
      </c>
    </row>
    <row r="30" spans="1:6" ht="15.6" customHeight="1" x14ac:dyDescent="0.3">
      <c r="A30" s="11" t="s">
        <v>149</v>
      </c>
      <c r="B30" s="25">
        <f>'Cash Flow'!B14/'Income Statement'!B2</f>
        <v>9.2177918013180996E-2</v>
      </c>
      <c r="C30" s="25">
        <f>'Cash Flow'!C14/'Income Statement'!C2</f>
        <v>8.8277394162172063E-2</v>
      </c>
      <c r="D30" s="25">
        <f>'Cash Flow'!D14/'Income Statement'!D2</f>
        <v>0.11771791820266465</v>
      </c>
      <c r="E30" s="25">
        <f>'Cash Flow'!E14/'Income Statement'!E2</f>
        <v>0.11304602564937179</v>
      </c>
      <c r="F30" s="26">
        <f>'Cash Flow'!F14/'Income Statement'!F2</f>
        <v>9.4037581507618553E-2</v>
      </c>
    </row>
    <row r="31" spans="1:6" ht="15.6" customHeight="1" x14ac:dyDescent="0.3">
      <c r="A31" s="11" t="s">
        <v>150</v>
      </c>
      <c r="B31" s="23">
        <f>'Cash Flow'!B14+'Cash Flow'!B19</f>
        <v>3713</v>
      </c>
      <c r="C31" s="23">
        <f>'Cash Flow'!C14+'Cash Flow'!C19</f>
        <v>3334</v>
      </c>
      <c r="D31" s="23">
        <f>'Cash Flow'!D14+'Cash Flow'!D19</f>
        <v>2716</v>
      </c>
      <c r="E31" s="23">
        <f>'Cash Flow'!E14+'Cash Flow'!E19</f>
        <v>748</v>
      </c>
      <c r="F31" s="24">
        <f>'Cash Flow'!F14+'Cash Flow'!F19</f>
        <v>1343</v>
      </c>
    </row>
    <row r="32" spans="1:6" ht="16.2" customHeight="1" x14ac:dyDescent="0.3">
      <c r="A32" s="11" t="s">
        <v>151</v>
      </c>
      <c r="B32" s="27">
        <f>'Cash Flow'!B14/'Financial Forecasting'!B21</f>
        <v>0.40876777251184832</v>
      </c>
      <c r="C32" s="27">
        <f>'Cash Flow'!C14/'Financial Forecasting'!C21</f>
        <v>0.39612558450233804</v>
      </c>
      <c r="D32" s="27">
        <f>'Cash Flow'!D14/'Financial Forecasting'!D21</f>
        <v>0.41176769215148745</v>
      </c>
      <c r="E32" s="27">
        <f>'Cash Flow'!E14/'Financial Forecasting'!E21</f>
        <v>0.31103349453698731</v>
      </c>
      <c r="F32" s="26">
        <f>'Cash Flow'!F14/'Financial Forecasting'!F21</f>
        <v>0.25906257215423689</v>
      </c>
    </row>
    <row r="33" spans="1:6" ht="16.2" customHeight="1" x14ac:dyDescent="0.3">
      <c r="A33" s="11" t="s">
        <v>152</v>
      </c>
      <c r="B33" s="27">
        <f>'Cash Flow'!B14/ABS('Income Statement'!B11)</f>
        <v>14.318181818181818</v>
      </c>
      <c r="C33" s="27">
        <f>'Cash Flow'!C14/ABS('Income Statement'!C11)</f>
        <v>12.217115689381933</v>
      </c>
      <c r="D33" s="27">
        <f>'Cash Flow'!D14/ABS('Income Statement'!D11)</f>
        <v>9.3444700460829502</v>
      </c>
      <c r="E33" s="27">
        <f>'Cash Flow'!E14/ABS('Income Statement'!E11)</f>
        <v>7.4768568353067817</v>
      </c>
      <c r="F33" s="28">
        <f>'Cash Flow'!F14/ABS('Income Statement'!F11)</f>
        <v>6.0714285714285712</v>
      </c>
    </row>
    <row r="34" spans="1:6" ht="16.8" customHeight="1" x14ac:dyDescent="0.3">
      <c r="A34" s="11" t="s">
        <v>91</v>
      </c>
      <c r="B34" s="23">
        <f>'Cash Flow'!B4</f>
        <v>3518</v>
      </c>
      <c r="C34" s="23">
        <f>'Cash Flow'!C4</f>
        <v>3800</v>
      </c>
      <c r="D34" s="23">
        <f>'Cash Flow'!D4</f>
        <v>3769</v>
      </c>
      <c r="E34" s="23">
        <f>'Cash Flow'!E4</f>
        <v>3647</v>
      </c>
      <c r="F34" s="28">
        <f>'Cash Flow'!F4</f>
        <v>3580</v>
      </c>
    </row>
    <row r="35" spans="1:6" ht="15" customHeight="1" x14ac:dyDescent="0.3">
      <c r="A35" s="11" t="s">
        <v>153</v>
      </c>
      <c r="B35" s="25">
        <f>B34/B4</f>
        <v>4.4759408636352069E-2</v>
      </c>
      <c r="C35" s="25">
        <f>C34/C4</f>
        <v>4.3514606021047328E-2</v>
      </c>
      <c r="D35" s="25">
        <f>D34/D4</f>
        <v>5.4700879510028735E-2</v>
      </c>
      <c r="E35" s="25">
        <f>E34/E4</f>
        <v>5.9354859709654317E-2</v>
      </c>
      <c r="F35" s="25">
        <f>F34/F4</f>
        <v>6.0009722245503459E-2</v>
      </c>
    </row>
    <row r="36" spans="1:6" ht="16.2" customHeight="1" x14ac:dyDescent="0.3">
      <c r="A36" s="11" t="s">
        <v>154</v>
      </c>
      <c r="B36" s="25">
        <f>'Cash Flow'!B19/'Financial Forecasting'!B4</f>
        <v>-4.4937530217053871E-2</v>
      </c>
      <c r="C36" s="25">
        <f>'Cash Flow'!C19/'Financial Forecasting'!C4</f>
        <v>-5.009905298475844E-2</v>
      </c>
      <c r="D36" s="25">
        <f>'Cash Flow'!D19/'Financial Forecasting'!D4</f>
        <v>-7.8299613944442834E-2</v>
      </c>
      <c r="E36" s="25">
        <f>'Cash Flow'!E19/'Financial Forecasting'!E4</f>
        <v>-0.10087233904042706</v>
      </c>
      <c r="F36" s="25">
        <f>'Cash Flow'!F19/'Financial Forecasting'!F4</f>
        <v>-7.1525554419431078E-2</v>
      </c>
    </row>
    <row r="37" spans="1:6" ht="16.8" customHeight="1" x14ac:dyDescent="0.3">
      <c r="A37" s="11" t="s">
        <v>155</v>
      </c>
      <c r="B37" s="25">
        <f>'Balance Sheet'!B14/'Financial Forecasting'!B4</f>
        <v>0.4459528232270541</v>
      </c>
      <c r="C37" s="25">
        <f>'Balance Sheet'!C14/'Financial Forecasting'!C4</f>
        <v>0.42852725961042976</v>
      </c>
      <c r="D37" s="25">
        <f>'Balance Sheet'!D14/'Financial Forecasting'!D4</f>
        <v>0.45676468027052913</v>
      </c>
      <c r="E37" s="25">
        <f>'Balance Sheet'!E14/'Financial Forecasting'!E4</f>
        <v>0.50830024086973502</v>
      </c>
      <c r="F37" s="25">
        <f>'Balance Sheet'!F14/'Financial Forecasting'!F4</f>
        <v>0.53110280436495294</v>
      </c>
    </row>
    <row r="38" spans="1:6" ht="16.2" customHeight="1" x14ac:dyDescent="0.3">
      <c r="A38" s="11" t="s">
        <v>156</v>
      </c>
      <c r="B38" s="25">
        <f>'Balance Sheet'!B36/'Financial Forecasting'!B4</f>
        <v>0.25548996157663045</v>
      </c>
      <c r="C38" s="25">
        <f>'Balance Sheet'!C36/'Financial Forecasting'!C4</f>
        <v>0.23406277554479141</v>
      </c>
      <c r="D38" s="25">
        <f>'Balance Sheet'!D36/'Financial Forecasting'!D4</f>
        <v>0.23034164465472701</v>
      </c>
      <c r="E38" s="25">
        <f>'Balance Sheet'!E36/'Financial Forecasting'!E4</f>
        <v>0.27730941995963804</v>
      </c>
      <c r="F38" s="25">
        <f>'Balance Sheet'!F36/'Financial Forecasting'!F4</f>
        <v>0.27508926027121711</v>
      </c>
    </row>
    <row r="39" spans="1:6" ht="18" customHeight="1" x14ac:dyDescent="0.3">
      <c r="A39" s="11"/>
      <c r="B39" s="25"/>
      <c r="C39" s="25"/>
      <c r="D39" s="28"/>
      <c r="E39" s="28"/>
      <c r="F39" s="28"/>
    </row>
    <row r="40" spans="1:6" ht="18" customHeight="1" x14ac:dyDescent="0.3">
      <c r="A40" s="20" t="s">
        <v>157</v>
      </c>
      <c r="B40" s="21" t="s">
        <v>123</v>
      </c>
      <c r="C40" s="21" t="s">
        <v>124</v>
      </c>
      <c r="D40" s="21" t="s">
        <v>125</v>
      </c>
      <c r="E40" s="21" t="s">
        <v>126</v>
      </c>
      <c r="F40" s="21" t="s">
        <v>127</v>
      </c>
    </row>
    <row r="41" spans="1:6" ht="18" customHeight="1" x14ac:dyDescent="0.3">
      <c r="A41" s="11" t="s">
        <v>158</v>
      </c>
      <c r="B41" s="29">
        <f>'Balance Sheet'!B11/'Income Statement'!B4*365</f>
        <v>85.66143744394239</v>
      </c>
      <c r="C41" s="29">
        <f>'Balance Sheet'!C11/'Income Statement'!C4*365</f>
        <v>87.713390407364656</v>
      </c>
      <c r="D41" s="29">
        <f>'Balance Sheet'!D11/'Income Statement'!D4*365</f>
        <v>96.460214070772864</v>
      </c>
      <c r="E41" s="29">
        <f>'Balance Sheet'!E11/'Income Statement'!E4*365</f>
        <v>107.31003137490868</v>
      </c>
      <c r="F41" s="12">
        <f>'Balance Sheet'!F11/'Income Statement'!F4*365</f>
        <v>97.553539657785493</v>
      </c>
    </row>
    <row r="42" spans="1:6" ht="18" customHeight="1" x14ac:dyDescent="0.3">
      <c r="A42" s="11" t="s">
        <v>159</v>
      </c>
      <c r="B42" s="29">
        <f>'Balance Sheet'!B8/'Income Statement'!B2*365</f>
        <v>55.47583907987481</v>
      </c>
      <c r="C42" s="29">
        <f>'Balance Sheet'!C8/'Income Statement'!C2*365</f>
        <v>50.394551513277683</v>
      </c>
      <c r="D42" s="29">
        <f>'Balance Sheet'!D8/'Income Statement'!D2*365</f>
        <v>55.182795854982437</v>
      </c>
      <c r="E42" s="29">
        <f>'Balance Sheet'!E8/'Income Statement'!E2*365</f>
        <v>61.738249462925594</v>
      </c>
      <c r="F42" s="12">
        <f>'Balance Sheet'!F8/'Income Statement'!F2*365</f>
        <v>50.947164624436361</v>
      </c>
    </row>
    <row r="43" spans="1:6" ht="18" customHeight="1" x14ac:dyDescent="0.3">
      <c r="A43" s="11" t="s">
        <v>160</v>
      </c>
      <c r="B43" s="29">
        <f>'Balance Sheet'!B28/'Income Statement'!B4*365</f>
        <v>48.340525629960574</v>
      </c>
      <c r="C43" s="29">
        <f>'Balance Sheet'!C28/'Income Statement'!C4*365</f>
        <v>46.155149407019806</v>
      </c>
      <c r="D43" s="29">
        <f>'Balance Sheet'!D28/'Income Statement'!D4*365</f>
        <v>46.860644497771681</v>
      </c>
      <c r="E43" s="29">
        <f>'Balance Sheet'!E28/'Income Statement'!E4*365</f>
        <v>54.302123178751017</v>
      </c>
      <c r="F43" s="12">
        <f>'Balance Sheet'!F28/'Income Statement'!F4*365</f>
        <v>43.966437498627187</v>
      </c>
    </row>
    <row r="44" spans="1:6" ht="18" customHeight="1" x14ac:dyDescent="0.3">
      <c r="A44" s="11" t="s">
        <v>161</v>
      </c>
      <c r="B44" s="29">
        <f>B41+B42-B43</f>
        <v>92.796750893856625</v>
      </c>
      <c r="C44" s="29">
        <f>C41+C42-C43</f>
        <v>91.952792513622526</v>
      </c>
      <c r="D44" s="29">
        <f>D41+D42-D43</f>
        <v>104.78236542798362</v>
      </c>
      <c r="E44" s="29">
        <f>E41+E42-E43</f>
        <v>114.74615765908327</v>
      </c>
      <c r="F44" s="12">
        <f>F41+F42-F43</f>
        <v>104.53426678359466</v>
      </c>
    </row>
    <row r="45" spans="1:6" ht="18" customHeight="1" x14ac:dyDescent="0.3">
      <c r="A45" s="11"/>
      <c r="B45" s="25"/>
      <c r="C45" s="25"/>
      <c r="D45" s="28"/>
      <c r="E45" s="28"/>
      <c r="F45" s="28"/>
    </row>
    <row r="46" spans="1:6" ht="18" customHeight="1" x14ac:dyDescent="0.3">
      <c r="A46" s="20" t="s">
        <v>162</v>
      </c>
      <c r="B46" s="21" t="s">
        <v>123</v>
      </c>
      <c r="C46" s="21" t="s">
        <v>124</v>
      </c>
      <c r="D46" s="21" t="s">
        <v>125</v>
      </c>
      <c r="E46" s="21" t="s">
        <v>126</v>
      </c>
      <c r="F46" s="21" t="s">
        <v>127</v>
      </c>
    </row>
    <row r="47" spans="1:6" ht="18" customHeight="1" x14ac:dyDescent="0.3">
      <c r="A47" s="11" t="s">
        <v>163</v>
      </c>
      <c r="B47" s="23">
        <f>'Balance Sheet'!B22-'Balance Sheet'!B14</f>
        <v>52332</v>
      </c>
      <c r="C47" s="23">
        <f>'Balance Sheet'!C22-'Balance Sheet'!C14</f>
        <v>47050</v>
      </c>
      <c r="D47" s="23">
        <f>'Balance Sheet'!D22-'Balance Sheet'!D14</f>
        <v>45923</v>
      </c>
      <c r="E47" s="23">
        <f>'Balance Sheet'!E22-'Balance Sheet'!E14</f>
        <v>49183</v>
      </c>
      <c r="F47" s="28">
        <f>'Balance Sheet'!F22-'Balance Sheet'!F14</f>
        <v>44490</v>
      </c>
    </row>
    <row r="48" spans="1:6" ht="16.8" customHeight="1" x14ac:dyDescent="0.3">
      <c r="A48" s="11" t="s">
        <v>164</v>
      </c>
      <c r="B48" s="25">
        <f>B47/B4</f>
        <v>0.66581846866332473</v>
      </c>
      <c r="C48" s="25">
        <f>C47/C4</f>
        <v>0.53877952981323074</v>
      </c>
      <c r="D48" s="25">
        <f>D47/D4</f>
        <v>0.66649734405387362</v>
      </c>
      <c r="E48" s="25">
        <f>E47/E4</f>
        <v>0.80045244450231101</v>
      </c>
      <c r="F48" s="25">
        <f>F47/F4</f>
        <v>0.745763280084483</v>
      </c>
    </row>
    <row r="49" spans="1:6" ht="18" customHeight="1" x14ac:dyDescent="0.3">
      <c r="A49" s="11" t="s">
        <v>165</v>
      </c>
      <c r="B49" s="23">
        <f>'Balance Sheet'!B43-'Balance Sheet'!B36</f>
        <v>25221</v>
      </c>
      <c r="C49" s="23">
        <f>'Balance Sheet'!C43-'Balance Sheet'!C36</f>
        <v>23109</v>
      </c>
      <c r="D49" s="23">
        <f>'Balance Sheet'!D43-'Balance Sheet'!D36</f>
        <v>24879</v>
      </c>
      <c r="E49" s="23">
        <f>'Balance Sheet'!E43-'Balance Sheet'!E36</f>
        <v>26493</v>
      </c>
      <c r="F49" s="28">
        <f>'Balance Sheet'!F43-'Balance Sheet'!F36</f>
        <v>25426</v>
      </c>
    </row>
    <row r="50" spans="1:6" ht="16.2" customHeight="1" x14ac:dyDescent="0.3">
      <c r="A50" s="11" t="s">
        <v>166</v>
      </c>
      <c r="B50" s="25">
        <f>B49/B4</f>
        <v>0.32088602763429097</v>
      </c>
      <c r="C50" s="25">
        <f>C49/C4</f>
        <v>0.26462606066852179</v>
      </c>
      <c r="D50" s="25">
        <f>D49/D4</f>
        <v>0.36107805288670863</v>
      </c>
      <c r="E50" s="25">
        <f>E49/E4</f>
        <v>0.4311731007095892</v>
      </c>
      <c r="F50" s="25">
        <f>F49/F4</f>
        <v>0.42620312788105336</v>
      </c>
    </row>
    <row r="51" spans="1:6" ht="16.2" customHeight="1" x14ac:dyDescent="0.3">
      <c r="A51" s="11" t="s">
        <v>167</v>
      </c>
      <c r="B51" s="23">
        <f>'Balance Sheet'!B44/'Financial Forecasting'!B4</f>
        <v>0.22550192116847756</v>
      </c>
      <c r="C51" s="23">
        <f>'Balance Sheet'!C44/'Financial Forecasting'!C4</f>
        <v>0.22285203888831634</v>
      </c>
      <c r="D51" s="23">
        <f>'Balance Sheet'!D44/'Financial Forecasting'!D4</f>
        <v>0.28588429943978405</v>
      </c>
      <c r="E51" s="23">
        <f>'Balance Sheet'!E44/'Financial Forecasting'!E4</f>
        <v>0.36345290020180976</v>
      </c>
      <c r="F51" s="25">
        <f>'Balance Sheet'!F44/'Financial Forecasting'!F4</f>
        <v>0.36299176961630653</v>
      </c>
    </row>
    <row r="52" spans="1:6" ht="16.2" customHeight="1" x14ac:dyDescent="0.3">
      <c r="A52" s="11" t="s">
        <v>168</v>
      </c>
      <c r="B52" s="12"/>
      <c r="C52" s="23">
        <f>C21-B21</f>
        <v>1737</v>
      </c>
      <c r="D52" s="23">
        <f>D21-C21</f>
        <v>237</v>
      </c>
      <c r="E52" s="23">
        <f>E21-D21</f>
        <v>2634</v>
      </c>
      <c r="F52" s="24">
        <f>F21-E21</f>
        <v>-677</v>
      </c>
    </row>
    <row r="53" spans="1:6" ht="18" customHeight="1" x14ac:dyDescent="0.3">
      <c r="A53" s="11"/>
      <c r="B53" s="25"/>
      <c r="C53" s="25"/>
      <c r="D53" s="28"/>
      <c r="E53" s="28"/>
      <c r="F53" s="28"/>
    </row>
    <row r="54" spans="1:6" ht="18" customHeight="1" x14ac:dyDescent="0.3">
      <c r="A54" s="20" t="s">
        <v>169</v>
      </c>
      <c r="B54" s="21" t="s">
        <v>170</v>
      </c>
      <c r="C54" s="21" t="s">
        <v>171</v>
      </c>
      <c r="D54" s="21" t="s">
        <v>172</v>
      </c>
      <c r="E54" s="21" t="s">
        <v>173</v>
      </c>
      <c r="F54" s="12"/>
    </row>
    <row r="55" spans="1:6" ht="17.399999999999999" customHeight="1" x14ac:dyDescent="0.3">
      <c r="A55" s="11" t="s">
        <v>174</v>
      </c>
      <c r="B55" s="23" t="s">
        <v>175</v>
      </c>
      <c r="C55" s="23">
        <v>0.06</v>
      </c>
      <c r="D55" s="23">
        <v>0.04</v>
      </c>
      <c r="E55" s="23">
        <v>0.03</v>
      </c>
      <c r="F55" s="12"/>
    </row>
    <row r="56" spans="1:6" ht="18" customHeight="1" x14ac:dyDescent="0.3">
      <c r="A56" s="30" t="s">
        <v>176</v>
      </c>
      <c r="B56" s="16">
        <f>F4</f>
        <v>59657</v>
      </c>
      <c r="C56" s="16">
        <f>B56*(1+C55)</f>
        <v>63236.420000000006</v>
      </c>
      <c r="D56" s="16">
        <f>C56*(1+D55)</f>
        <v>65765.876800000013</v>
      </c>
      <c r="E56" s="16">
        <f>D56*(1+E55)</f>
        <v>67738.853104000009</v>
      </c>
      <c r="F56" s="12"/>
    </row>
    <row r="57" spans="1:6" ht="17.399999999999999" customHeight="1" x14ac:dyDescent="0.3">
      <c r="A57" s="11" t="s">
        <v>177</v>
      </c>
      <c r="B57" s="12"/>
      <c r="C57" s="23">
        <f>$B$80*C56</f>
        <v>48035.64122347704</v>
      </c>
      <c r="D57" s="23">
        <f>$B$80*D56</f>
        <v>49957.066872416122</v>
      </c>
      <c r="E57" s="23">
        <f>$B$80*E56</f>
        <v>51455.778878588608</v>
      </c>
      <c r="F57" s="12"/>
    </row>
    <row r="58" spans="1:6" ht="18.600000000000001" customHeight="1" x14ac:dyDescent="0.3">
      <c r="A58" s="11" t="s">
        <v>178</v>
      </c>
      <c r="B58" s="12"/>
      <c r="C58" s="23">
        <f>$B$83*C56</f>
        <v>11449.276875520882</v>
      </c>
      <c r="D58" s="23">
        <f>$B$83*D56</f>
        <v>11907.24795054172</v>
      </c>
      <c r="E58" s="23">
        <f>$B$83*E56</f>
        <v>12264.46538905797</v>
      </c>
      <c r="F58" s="12"/>
    </row>
    <row r="59" spans="1:6" ht="17.399999999999999" customHeight="1" x14ac:dyDescent="0.3">
      <c r="A59" s="30" t="s">
        <v>179</v>
      </c>
      <c r="B59" s="31"/>
      <c r="C59" s="16">
        <f>C56-C57-C58</f>
        <v>3751.5019010020842</v>
      </c>
      <c r="D59" s="16">
        <f>D56-D57-D58</f>
        <v>3901.5619770421708</v>
      </c>
      <c r="E59" s="16">
        <f>E56-E57-E58</f>
        <v>4018.6088363534309</v>
      </c>
      <c r="F59" s="12"/>
    </row>
    <row r="60" spans="1:6" ht="18" customHeight="1" x14ac:dyDescent="0.3">
      <c r="A60" s="11" t="s">
        <v>131</v>
      </c>
      <c r="B60" s="12"/>
      <c r="C60" s="25">
        <f>C59/C56</f>
        <v>5.932502031269455E-2</v>
      </c>
      <c r="D60" s="25">
        <f>D59/D56</f>
        <v>5.9325020312694592E-2</v>
      </c>
      <c r="E60" s="25">
        <f>E59/E56</f>
        <v>5.9325020312694522E-2</v>
      </c>
      <c r="F60" s="12"/>
    </row>
    <row r="61" spans="1:6" ht="16.2" customHeight="1" x14ac:dyDescent="0.3">
      <c r="A61" s="11" t="s">
        <v>10</v>
      </c>
      <c r="B61" s="12"/>
      <c r="C61" s="23">
        <f>$B$86*C56</f>
        <v>-719.2401806577642</v>
      </c>
      <c r="D61" s="23">
        <f>$B$86*D56</f>
        <v>-748.00978788407485</v>
      </c>
      <c r="E61" s="23">
        <f>$B$86*E56</f>
        <v>-770.450081520597</v>
      </c>
      <c r="F61" s="12"/>
    </row>
    <row r="62" spans="1:6" ht="16.8" customHeight="1" x14ac:dyDescent="0.3">
      <c r="A62" s="11" t="s">
        <v>180</v>
      </c>
      <c r="B62" s="12"/>
      <c r="C62" s="23">
        <f>C59+C61</f>
        <v>3032.2617203443201</v>
      </c>
      <c r="D62" s="23">
        <f>D59+D61</f>
        <v>3153.5521891580961</v>
      </c>
      <c r="E62" s="23">
        <f>E59+E61</f>
        <v>3248.1587548328339</v>
      </c>
      <c r="F62" s="12"/>
    </row>
    <row r="63" spans="1:6" ht="18" customHeight="1" x14ac:dyDescent="0.3">
      <c r="A63" s="11" t="s">
        <v>135</v>
      </c>
      <c r="B63" s="12"/>
      <c r="C63" s="25">
        <f>F13</f>
        <v>0.37050653594771243</v>
      </c>
      <c r="D63" s="25">
        <f>F13</f>
        <v>0.37050653594771243</v>
      </c>
      <c r="E63" s="25">
        <f>F13</f>
        <v>0.37050653594771243</v>
      </c>
      <c r="F63" s="12"/>
    </row>
    <row r="64" spans="1:6" ht="17.399999999999999" customHeight="1" x14ac:dyDescent="0.3">
      <c r="A64" s="11" t="s">
        <v>22</v>
      </c>
      <c r="B64" s="12"/>
      <c r="C64" s="23">
        <f>C62*C63</f>
        <v>1123.4727860916253</v>
      </c>
      <c r="D64" s="23">
        <f>D62*D63</f>
        <v>1168.4116975352913</v>
      </c>
      <c r="E64" s="23">
        <f>E62*E63</f>
        <v>1203.4640484613483</v>
      </c>
      <c r="F64" s="12"/>
    </row>
    <row r="65" spans="1:6" ht="18.600000000000001" customHeight="1" x14ac:dyDescent="0.3">
      <c r="A65" s="30" t="s">
        <v>27</v>
      </c>
      <c r="B65" s="31"/>
      <c r="C65" s="16">
        <f>C62-C64</f>
        <v>1908.7889342526948</v>
      </c>
      <c r="D65" s="16">
        <f>D62-D64</f>
        <v>1985.1404916228048</v>
      </c>
      <c r="E65" s="16">
        <f>E62-E64</f>
        <v>2044.6947063714856</v>
      </c>
      <c r="F65" s="12"/>
    </row>
    <row r="66" spans="1:6" ht="17.399999999999999" customHeight="1" x14ac:dyDescent="0.3">
      <c r="A66" s="11" t="s">
        <v>132</v>
      </c>
      <c r="B66" s="12"/>
      <c r="C66" s="25">
        <f>C65/C56</f>
        <v>3.0184961992672808E-2</v>
      </c>
      <c r="D66" s="25">
        <f>D65/D56</f>
        <v>3.0184961992672839E-2</v>
      </c>
      <c r="E66" s="25">
        <f>E65/E56</f>
        <v>3.0184961992672791E-2</v>
      </c>
      <c r="F66" s="12"/>
    </row>
    <row r="67" spans="1:6" ht="18" customHeight="1" x14ac:dyDescent="0.3">
      <c r="A67" s="11"/>
      <c r="B67" s="12"/>
      <c r="C67" s="26"/>
      <c r="D67" s="26"/>
      <c r="E67" s="26"/>
      <c r="F67" s="12"/>
    </row>
    <row r="68" spans="1:6" ht="18" customHeight="1" x14ac:dyDescent="0.3">
      <c r="A68" s="32" t="s">
        <v>181</v>
      </c>
      <c r="B68" s="33"/>
      <c r="C68" s="33"/>
      <c r="D68" s="34"/>
      <c r="E68" s="34"/>
      <c r="F68" s="28"/>
    </row>
    <row r="69" spans="1:6" ht="18" customHeight="1" x14ac:dyDescent="0.3">
      <c r="A69" s="35"/>
      <c r="B69" s="12"/>
      <c r="C69" s="12"/>
      <c r="D69" s="12"/>
      <c r="E69" s="12"/>
      <c r="F69" s="12"/>
    </row>
    <row r="70" spans="1:6" ht="18" customHeight="1" x14ac:dyDescent="0.3">
      <c r="A70" s="30" t="s">
        <v>182</v>
      </c>
      <c r="B70" s="36">
        <f>('Income Statement'!F2/'Income Statement'!B2)^(1/4)-1</f>
        <v>-6.6611429198083161E-2</v>
      </c>
      <c r="C70" s="12"/>
      <c r="D70" s="12"/>
      <c r="E70" s="12"/>
      <c r="F70" s="12"/>
    </row>
    <row r="71" spans="1:6" ht="18" customHeight="1" x14ac:dyDescent="0.3">
      <c r="A71" s="11"/>
      <c r="B71" s="25"/>
      <c r="C71" s="12"/>
      <c r="D71" s="12"/>
      <c r="E71" s="12"/>
      <c r="F71" s="12"/>
    </row>
    <row r="72" spans="1:6" ht="21" customHeight="1" x14ac:dyDescent="0.3">
      <c r="A72" s="20" t="s">
        <v>2</v>
      </c>
      <c r="B72" s="21" t="s">
        <v>126</v>
      </c>
      <c r="C72" s="21" t="s">
        <v>127</v>
      </c>
      <c r="D72" s="21" t="s">
        <v>183</v>
      </c>
      <c r="E72" s="20"/>
      <c r="F72" s="12"/>
    </row>
    <row r="73" spans="1:6" ht="18" customHeight="1" x14ac:dyDescent="0.3">
      <c r="A73" s="11"/>
      <c r="B73" s="25">
        <f>E76-D76</f>
        <v>0.10274789346633467</v>
      </c>
      <c r="C73" s="25">
        <f>F76-E76</f>
        <v>7.9157296666923158E-2</v>
      </c>
      <c r="D73" s="25">
        <f>AVERAGE(B73,C73)</f>
        <v>9.0952595066628922E-2</v>
      </c>
      <c r="E73" s="12"/>
      <c r="F73" s="12"/>
    </row>
    <row r="74" spans="1:6" ht="18" customHeight="1" x14ac:dyDescent="0.3">
      <c r="A74" s="37"/>
      <c r="B74" s="24"/>
      <c r="C74" s="12"/>
      <c r="D74" s="12"/>
      <c r="E74" s="12"/>
      <c r="F74" s="12"/>
    </row>
    <row r="75" spans="1:6" ht="18" customHeight="1" x14ac:dyDescent="0.3">
      <c r="A75" s="20" t="s">
        <v>184</v>
      </c>
      <c r="B75" s="21" t="s">
        <v>123</v>
      </c>
      <c r="C75" s="21" t="s">
        <v>124</v>
      </c>
      <c r="D75" s="21" t="s">
        <v>125</v>
      </c>
      <c r="E75" s="21" t="s">
        <v>126</v>
      </c>
      <c r="F75" s="21" t="s">
        <v>127</v>
      </c>
    </row>
    <row r="76" spans="1:6" ht="18" customHeight="1" x14ac:dyDescent="0.3">
      <c r="A76" s="37"/>
      <c r="B76" s="25"/>
      <c r="C76" s="23">
        <f>C5</f>
        <v>0.11105880556757169</v>
      </c>
      <c r="D76" s="23">
        <f>D5</f>
        <v>-0.21098858314152552</v>
      </c>
      <c r="E76" s="23">
        <f>E5</f>
        <v>-0.10824068967519085</v>
      </c>
      <c r="F76" s="25">
        <f>F5</f>
        <v>-2.9083393008267691E-2</v>
      </c>
    </row>
    <row r="77" spans="1:6" ht="18" customHeight="1" x14ac:dyDescent="0.3">
      <c r="A77" s="35" t="s">
        <v>185</v>
      </c>
      <c r="B77" s="12"/>
      <c r="C77" s="12"/>
      <c r="D77" s="12"/>
      <c r="E77" s="12"/>
      <c r="F77" s="22"/>
    </row>
    <row r="78" spans="1:6" ht="18" customHeight="1" x14ac:dyDescent="0.3">
      <c r="A78" s="37">
        <f>F76+D73</f>
        <v>6.1869202058361231E-2</v>
      </c>
      <c r="B78" s="12"/>
      <c r="C78" s="12"/>
      <c r="D78" s="12"/>
      <c r="E78" s="12"/>
      <c r="F78" s="12"/>
    </row>
    <row r="79" spans="1:6" ht="18" customHeight="1" x14ac:dyDescent="0.3">
      <c r="A79" s="37"/>
      <c r="B79" s="12"/>
      <c r="C79" s="12"/>
      <c r="D79" s="12"/>
      <c r="E79" s="12"/>
      <c r="F79" s="12"/>
    </row>
    <row r="80" spans="1:6" ht="18" customHeight="1" x14ac:dyDescent="0.3">
      <c r="A80" s="38" t="s">
        <v>186</v>
      </c>
      <c r="B80" s="36">
        <f>AVERAGE(B6:F6)</f>
        <v>0.75961987132536968</v>
      </c>
      <c r="C80" s="12"/>
      <c r="D80" s="12"/>
      <c r="E80" s="12"/>
      <c r="F80" s="12"/>
    </row>
    <row r="81" spans="1:6" ht="18" customHeight="1" x14ac:dyDescent="0.3">
      <c r="A81" s="39">
        <f>AVERAGE(B6,C6,D6,E6,F6)</f>
        <v>0.75961987132536968</v>
      </c>
      <c r="B81" s="40"/>
      <c r="C81" s="12"/>
      <c r="D81" s="12"/>
      <c r="E81" s="12"/>
      <c r="F81" s="12"/>
    </row>
    <row r="82" spans="1:6" ht="18" customHeight="1" x14ac:dyDescent="0.3">
      <c r="A82" s="39"/>
      <c r="B82" s="40"/>
      <c r="C82" s="12"/>
      <c r="D82" s="12"/>
      <c r="E82" s="12"/>
      <c r="F82" s="12"/>
    </row>
    <row r="83" spans="1:6" ht="18" customHeight="1" x14ac:dyDescent="0.3">
      <c r="A83" s="38" t="s">
        <v>187</v>
      </c>
      <c r="B83" s="36">
        <f>AVERAGE(B8:F8)</f>
        <v>0.18105510836193575</v>
      </c>
      <c r="C83" s="12"/>
      <c r="D83" s="12"/>
      <c r="E83" s="12"/>
      <c r="F83" s="12"/>
    </row>
    <row r="84" spans="1:6" ht="18" customHeight="1" x14ac:dyDescent="0.3">
      <c r="A84" s="39">
        <f>AVERAGE(B8,C8,D8,E8,F8)</f>
        <v>0.18105510836193575</v>
      </c>
      <c r="B84" s="40"/>
      <c r="C84" s="12"/>
      <c r="D84" s="12"/>
      <c r="E84" s="12"/>
      <c r="F84" s="12"/>
    </row>
    <row r="85" spans="1:6" ht="18" customHeight="1" x14ac:dyDescent="0.3">
      <c r="A85" s="39"/>
      <c r="B85" s="40"/>
      <c r="C85" s="12"/>
      <c r="D85" s="12"/>
      <c r="E85" s="12"/>
      <c r="F85" s="12"/>
    </row>
    <row r="86" spans="1:6" ht="30.6" customHeight="1" x14ac:dyDescent="0.3">
      <c r="A86" s="30" t="s">
        <v>188</v>
      </c>
      <c r="B86" s="36">
        <f>AVERAGE(B12:F12)</f>
        <v>-1.1373828256845724E-2</v>
      </c>
      <c r="C86" s="12"/>
      <c r="D86" s="12"/>
      <c r="E86" s="12"/>
      <c r="F86" s="12"/>
    </row>
    <row r="87" spans="1:6" ht="18" customHeight="1" x14ac:dyDescent="0.3">
      <c r="A87" s="39">
        <f>AVERAGE(B12,C12,D12,E12,F12)</f>
        <v>-1.1373828256845724E-2</v>
      </c>
      <c r="B87" s="12"/>
      <c r="C87" s="12"/>
      <c r="D87" s="12"/>
      <c r="E87" s="12"/>
      <c r="F87" s="12"/>
    </row>
    <row r="88" spans="1:6" ht="18" customHeight="1" x14ac:dyDescent="0.3">
      <c r="A88" s="11"/>
      <c r="B88" s="12"/>
      <c r="C88" s="12"/>
      <c r="D88" s="12"/>
      <c r="E88" s="12"/>
      <c r="F88" s="12"/>
    </row>
    <row r="89" spans="1:6" ht="21" customHeight="1" x14ac:dyDescent="0.3">
      <c r="A89" s="20" t="s">
        <v>189</v>
      </c>
      <c r="B89" s="21" t="s">
        <v>170</v>
      </c>
      <c r="C89" s="21" t="s">
        <v>171</v>
      </c>
      <c r="D89" s="21" t="s">
        <v>172</v>
      </c>
      <c r="E89" s="21" t="s">
        <v>173</v>
      </c>
      <c r="F89" s="12"/>
    </row>
    <row r="90" spans="1:6" ht="18" customHeight="1" x14ac:dyDescent="0.3">
      <c r="A90" s="32" t="s">
        <v>190</v>
      </c>
      <c r="B90" s="41"/>
      <c r="C90" s="41"/>
      <c r="D90" s="41"/>
      <c r="E90" s="41"/>
      <c r="F90" s="42"/>
    </row>
    <row r="91" spans="1:6" ht="18" customHeight="1" x14ac:dyDescent="0.3">
      <c r="A91" s="43" t="s">
        <v>191</v>
      </c>
      <c r="B91" s="44">
        <f>'Balance Sheet'!F3</f>
        <v>2670</v>
      </c>
      <c r="C91" s="44">
        <f>C159</f>
        <v>776.65350559582112</v>
      </c>
      <c r="D91" s="44">
        <f>D159</f>
        <v>-1048.006793371339</v>
      </c>
      <c r="E91" s="44">
        <f>E159</f>
        <v>-2708.1027007553766</v>
      </c>
      <c r="F91" s="42"/>
    </row>
    <row r="92" spans="1:6" ht="18.600000000000001" customHeight="1" x14ac:dyDescent="0.3">
      <c r="A92" s="43" t="s">
        <v>192</v>
      </c>
      <c r="B92" s="44">
        <f>'Balance Sheet'!F8</f>
        <v>8327</v>
      </c>
      <c r="C92" s="44">
        <f>C56*$B$130/365</f>
        <v>9485.0680074931006</v>
      </c>
      <c r="D92" s="44">
        <f>D56*$B$130/365</f>
        <v>9864.4707277928264</v>
      </c>
      <c r="E92" s="44">
        <f>E56*$B$130/365</f>
        <v>10160.40484962661</v>
      </c>
      <c r="F92" s="42"/>
    </row>
    <row r="93" spans="1:6" ht="19.2" customHeight="1" x14ac:dyDescent="0.3">
      <c r="A93" s="43" t="s">
        <v>193</v>
      </c>
      <c r="B93" s="44">
        <f>'Balance Sheet'!F11</f>
        <v>12168</v>
      </c>
      <c r="C93" s="44">
        <f>C57*$B$131/365</f>
        <v>12494.494389686419</v>
      </c>
      <c r="D93" s="44">
        <f>D57*$B$131/365</f>
        <v>12994.274165273879</v>
      </c>
      <c r="E93" s="44">
        <f>E57*$B$131/365</f>
        <v>13384.102390232096</v>
      </c>
      <c r="F93" s="42"/>
    </row>
    <row r="94" spans="1:6" ht="18.600000000000001" customHeight="1" x14ac:dyDescent="0.3">
      <c r="A94" s="43" t="s">
        <v>194</v>
      </c>
      <c r="B94" s="44">
        <f>'Balance Sheet'!F14-'Balance Sheet'!F3-'Balance Sheet'!F8-'Balance Sheet'!F11</f>
        <v>8519</v>
      </c>
      <c r="C94" s="44">
        <f>$B$133</f>
        <v>8519</v>
      </c>
      <c r="D94" s="44">
        <f>$B$133</f>
        <v>8519</v>
      </c>
      <c r="E94" s="44">
        <f>$B$133</f>
        <v>8519</v>
      </c>
      <c r="F94" s="42"/>
    </row>
    <row r="95" spans="1:6" ht="19.8" customHeight="1" x14ac:dyDescent="0.3">
      <c r="A95" s="30" t="s">
        <v>195</v>
      </c>
      <c r="B95" s="16">
        <f>SUM(B91:B94)</f>
        <v>31684</v>
      </c>
      <c r="C95" s="16">
        <f>SUM(C91:C94)</f>
        <v>31275.215902775341</v>
      </c>
      <c r="D95" s="16">
        <f>SUM(D91:D94)</f>
        <v>30329.738099695365</v>
      </c>
      <c r="E95" s="16">
        <f>SUM(E91:E94)</f>
        <v>29355.404539103329</v>
      </c>
      <c r="F95" s="42"/>
    </row>
    <row r="96" spans="1:6" ht="19.8" customHeight="1" x14ac:dyDescent="0.3">
      <c r="A96" s="43" t="s">
        <v>196</v>
      </c>
      <c r="B96" s="44">
        <f>'Balance Sheet'!F22-'Balance Sheet'!F14</f>
        <v>44490</v>
      </c>
      <c r="C96" s="44">
        <f>B96-C150-C143</f>
        <v>45544.71537344368</v>
      </c>
      <c r="D96" s="44">
        <f>C96-D150-D143</f>
        <v>46641.619361825113</v>
      </c>
      <c r="E96" s="44">
        <f>D96-E150-E143</f>
        <v>47771.430469857987</v>
      </c>
      <c r="F96" s="42"/>
    </row>
    <row r="97" spans="1:6" ht="19.2" customHeight="1" x14ac:dyDescent="0.3">
      <c r="A97" s="30" t="s">
        <v>197</v>
      </c>
      <c r="B97" s="16">
        <f>B95+B96</f>
        <v>76174</v>
      </c>
      <c r="C97" s="16">
        <f>C95+C96</f>
        <v>76819.931276219024</v>
      </c>
      <c r="D97" s="16">
        <f>D95+D96</f>
        <v>76971.357461520471</v>
      </c>
      <c r="E97" s="16">
        <f>E95+E96</f>
        <v>77126.835008961323</v>
      </c>
      <c r="F97" s="42"/>
    </row>
    <row r="98" spans="1:6" ht="18" customHeight="1" x14ac:dyDescent="0.3">
      <c r="A98" s="45"/>
      <c r="B98" s="42"/>
      <c r="C98" s="42"/>
      <c r="D98" s="42"/>
      <c r="E98" s="42"/>
      <c r="F98" s="42"/>
    </row>
    <row r="99" spans="1:6" ht="18" customHeight="1" x14ac:dyDescent="0.3">
      <c r="A99" s="32" t="s">
        <v>198</v>
      </c>
      <c r="B99" s="41"/>
      <c r="C99" s="41"/>
      <c r="D99" s="41"/>
      <c r="E99" s="41"/>
      <c r="F99" s="42"/>
    </row>
    <row r="100" spans="1:6" ht="19.8" customHeight="1" x14ac:dyDescent="0.3">
      <c r="A100" s="43" t="s">
        <v>199</v>
      </c>
      <c r="B100" s="44">
        <f>'Balance Sheet'!F28</f>
        <v>5484</v>
      </c>
      <c r="C100" s="44">
        <f>C57*$B$132/365</f>
        <v>6307.1423419663297</v>
      </c>
      <c r="D100" s="44">
        <f>D57*$B$132/365</f>
        <v>6559.4280356449826</v>
      </c>
      <c r="E100" s="44">
        <f>E57*$B$132/365</f>
        <v>6756.2108767143336</v>
      </c>
      <c r="F100" s="42"/>
    </row>
    <row r="101" spans="1:6" ht="16.8" customHeight="1" x14ac:dyDescent="0.3">
      <c r="A101" s="43" t="s">
        <v>200</v>
      </c>
      <c r="B101" s="44">
        <f>'Balance Sheet'!F36-'Balance Sheet'!F28-N('Balance Sheet'!F30)-'Balance Sheet'!F31</f>
        <v>7760</v>
      </c>
      <c r="C101" s="44">
        <f>$B$134</f>
        <v>7760</v>
      </c>
      <c r="D101" s="44">
        <f>$B$134</f>
        <v>7760</v>
      </c>
      <c r="E101" s="44">
        <f>$B$134</f>
        <v>7760</v>
      </c>
      <c r="F101" s="42"/>
    </row>
    <row r="102" spans="1:6" ht="19.8" customHeight="1" x14ac:dyDescent="0.3">
      <c r="A102" s="30" t="s">
        <v>201</v>
      </c>
      <c r="B102" s="16">
        <f>SUM(B100:B101)</f>
        <v>13244</v>
      </c>
      <c r="C102" s="16">
        <f>SUM(C100:C101)</f>
        <v>14067.14234196633</v>
      </c>
      <c r="D102" s="16">
        <f>SUM(D100:D101)</f>
        <v>14319.428035644982</v>
      </c>
      <c r="E102" s="16">
        <f>SUM(E100:E101)</f>
        <v>14516.210876714333</v>
      </c>
      <c r="F102" s="42"/>
    </row>
    <row r="103" spans="1:6" ht="18.600000000000001" customHeight="1" x14ac:dyDescent="0.3">
      <c r="A103" s="43" t="s">
        <v>202</v>
      </c>
      <c r="B103" s="44">
        <f>'Balance Sheet'!F44</f>
        <v>21655</v>
      </c>
      <c r="C103" s="44">
        <f>$B$136</f>
        <v>21655</v>
      </c>
      <c r="D103" s="44">
        <f>$B$136</f>
        <v>21655</v>
      </c>
      <c r="E103" s="44">
        <f>$B$136</f>
        <v>21655</v>
      </c>
      <c r="F103" s="42"/>
    </row>
    <row r="104" spans="1:6" ht="16.8" customHeight="1" x14ac:dyDescent="0.3">
      <c r="A104" s="43" t="s">
        <v>203</v>
      </c>
      <c r="B104" s="44">
        <f>'Balance Sheet'!F43-'Balance Sheet'!F36-'Balance Sheet'!F37</f>
        <v>6938</v>
      </c>
      <c r="C104" s="44">
        <f>$B$135</f>
        <v>6938</v>
      </c>
      <c r="D104" s="44">
        <f>$B$135</f>
        <v>6938</v>
      </c>
      <c r="E104" s="44">
        <f>$B$135</f>
        <v>6938</v>
      </c>
      <c r="F104" s="42"/>
    </row>
    <row r="105" spans="1:6" ht="19.8" customHeight="1" x14ac:dyDescent="0.3">
      <c r="A105" s="30" t="s">
        <v>204</v>
      </c>
      <c r="B105" s="16">
        <f>B102+B103+B104</f>
        <v>41837</v>
      </c>
      <c r="C105" s="16">
        <f>C102+C103+C104</f>
        <v>42660.142341966333</v>
      </c>
      <c r="D105" s="16">
        <f>D102+D103+D104</f>
        <v>42912.428035644982</v>
      </c>
      <c r="E105" s="16">
        <f>E102+E103+E104</f>
        <v>43109.210876714336</v>
      </c>
      <c r="F105" s="42"/>
    </row>
    <row r="106" spans="1:6" ht="18" customHeight="1" x14ac:dyDescent="0.3">
      <c r="A106" s="30" t="s">
        <v>205</v>
      </c>
      <c r="B106" s="16">
        <f>'Balance Sheet'!F53</f>
        <v>34337</v>
      </c>
      <c r="C106" s="16">
        <f>B106+C142-C107</f>
        <v>34159.788934252698</v>
      </c>
      <c r="D106" s="16">
        <f>C106+D142-D107</f>
        <v>34058.929425875504</v>
      </c>
      <c r="E106" s="16">
        <f>D106+E142-E107</f>
        <v>34017.624132246987</v>
      </c>
      <c r="F106" s="42"/>
    </row>
    <row r="107" spans="1:6" ht="17.399999999999999" customHeight="1" x14ac:dyDescent="0.3">
      <c r="A107" s="43" t="s">
        <v>206</v>
      </c>
      <c r="B107" s="42"/>
      <c r="C107" s="44">
        <f>$B$139</f>
        <v>2086</v>
      </c>
      <c r="D107" s="44">
        <f>$B$139</f>
        <v>2086</v>
      </c>
      <c r="E107" s="44">
        <f>$B$139</f>
        <v>2086</v>
      </c>
      <c r="F107" s="42"/>
    </row>
    <row r="108" spans="1:6" ht="19.8" customHeight="1" x14ac:dyDescent="0.3">
      <c r="A108" s="43" t="s">
        <v>207</v>
      </c>
      <c r="B108" s="42"/>
      <c r="C108" s="44">
        <f>C103-B103</f>
        <v>0</v>
      </c>
      <c r="D108" s="44">
        <f>D103-C103</f>
        <v>0</v>
      </c>
      <c r="E108" s="44">
        <f>E103-D103</f>
        <v>0</v>
      </c>
      <c r="F108" s="42"/>
    </row>
    <row r="109" spans="1:6" ht="30.6" customHeight="1" x14ac:dyDescent="0.3">
      <c r="A109" s="30" t="s">
        <v>208</v>
      </c>
      <c r="B109" s="46"/>
      <c r="C109" s="47">
        <f>C97-C105-C106</f>
        <v>0</v>
      </c>
      <c r="D109" s="47">
        <f>D97-D105-D106</f>
        <v>0</v>
      </c>
      <c r="E109" s="47">
        <f>E97-E105-E106</f>
        <v>0</v>
      </c>
      <c r="F109" s="42"/>
    </row>
    <row r="110" spans="1:6" ht="18" customHeight="1" x14ac:dyDescent="0.3">
      <c r="A110" s="45"/>
      <c r="B110" s="42"/>
      <c r="C110" s="42"/>
      <c r="D110" s="42"/>
      <c r="E110" s="42"/>
      <c r="F110" s="42"/>
    </row>
    <row r="111" spans="1:6" ht="18.600000000000001" customHeight="1" x14ac:dyDescent="0.3">
      <c r="A111" s="32" t="s">
        <v>209</v>
      </c>
      <c r="B111" s="41"/>
      <c r="C111" s="41"/>
      <c r="D111" s="41"/>
      <c r="E111" s="41"/>
      <c r="F111" s="42"/>
    </row>
    <row r="112" spans="1:6" ht="21" customHeight="1" x14ac:dyDescent="0.3">
      <c r="A112" s="30" t="s">
        <v>210</v>
      </c>
      <c r="B112" s="16">
        <f>B95-B102</f>
        <v>18440</v>
      </c>
      <c r="C112" s="16">
        <f>C95-C102</f>
        <v>17208.073560809011</v>
      </c>
      <c r="D112" s="16">
        <f>D95-D102</f>
        <v>16010.310064050384</v>
      </c>
      <c r="E112" s="16">
        <f>E95-E102</f>
        <v>14839.193662388996</v>
      </c>
      <c r="F112" s="42"/>
    </row>
    <row r="113" spans="1:6" ht="16.8" customHeight="1" x14ac:dyDescent="0.3">
      <c r="A113" s="30" t="s">
        <v>211</v>
      </c>
      <c r="B113" s="48">
        <f>B95/B102</f>
        <v>2.3923286016309273</v>
      </c>
      <c r="C113" s="48">
        <f>C95/C102</f>
        <v>2.2232813987722566</v>
      </c>
      <c r="D113" s="48">
        <f>D95/D102</f>
        <v>2.1180830703709908</v>
      </c>
      <c r="E113" s="48">
        <f>E95/E102</f>
        <v>2.0222497997871307</v>
      </c>
      <c r="F113" s="42"/>
    </row>
    <row r="114" spans="1:6" ht="18" customHeight="1" x14ac:dyDescent="0.3">
      <c r="A114" s="30" t="s">
        <v>212</v>
      </c>
      <c r="B114" s="48">
        <f>(B95-B93)/B102</f>
        <v>1.4735729386892178</v>
      </c>
      <c r="C114" s="48">
        <f>(C95-C93)/C102</f>
        <v>1.3350772357695302</v>
      </c>
      <c r="D114" s="48">
        <f>(D95-D93)/D102</f>
        <v>1.210625444764188</v>
      </c>
      <c r="E114" s="48">
        <f>(E95-E93)/E102</f>
        <v>1.1002390558056052</v>
      </c>
      <c r="F114" s="42"/>
    </row>
    <row r="115" spans="1:6" ht="18" customHeight="1" x14ac:dyDescent="0.3">
      <c r="A115" s="30" t="s">
        <v>213</v>
      </c>
      <c r="B115" s="48">
        <f>B91/B102</f>
        <v>0.20160072485653882</v>
      </c>
      <c r="C115" s="48">
        <f>C91/C102</f>
        <v>5.5210467536028297E-2</v>
      </c>
      <c r="D115" s="48">
        <f>D91/D102</f>
        <v>-7.3187755178667949E-2</v>
      </c>
      <c r="E115" s="48">
        <f>E91/E102</f>
        <v>-0.18655713421051798</v>
      </c>
      <c r="F115" s="42"/>
    </row>
    <row r="116" spans="1:6" ht="18" customHeight="1" x14ac:dyDescent="0.3">
      <c r="A116" s="43" t="s">
        <v>214</v>
      </c>
      <c r="B116" s="49">
        <f>B41</f>
        <v>85.66143744394239</v>
      </c>
      <c r="C116" s="49">
        <f>$B$131</f>
        <v>94.939722590954815</v>
      </c>
      <c r="D116" s="49">
        <f>$B$131</f>
        <v>94.939722590954815</v>
      </c>
      <c r="E116" s="49">
        <f>$B$131</f>
        <v>94.939722590954815</v>
      </c>
      <c r="F116" s="42"/>
    </row>
    <row r="117" spans="1:6" ht="18" customHeight="1" x14ac:dyDescent="0.3">
      <c r="A117" s="43" t="s">
        <v>215</v>
      </c>
      <c r="B117" s="49">
        <f>B42</f>
        <v>55.47583907987481</v>
      </c>
      <c r="C117" s="49">
        <f>$B$130</f>
        <v>54.747720107099383</v>
      </c>
      <c r="D117" s="49">
        <f>$B$130</f>
        <v>54.747720107099383</v>
      </c>
      <c r="E117" s="49">
        <f>$B$130</f>
        <v>54.747720107099383</v>
      </c>
      <c r="F117" s="42"/>
    </row>
    <row r="118" spans="1:6" ht="17.399999999999999" customHeight="1" x14ac:dyDescent="0.3">
      <c r="A118" s="43" t="s">
        <v>216</v>
      </c>
      <c r="B118" s="49">
        <f>B43</f>
        <v>48.340525629960574</v>
      </c>
      <c r="C118" s="49">
        <f>$B$132</f>
        <v>47.924976042426053</v>
      </c>
      <c r="D118" s="49">
        <f>$B$132</f>
        <v>47.924976042426053</v>
      </c>
      <c r="E118" s="49">
        <f>$B$132</f>
        <v>47.924976042426053</v>
      </c>
      <c r="F118" s="42"/>
    </row>
    <row r="119" spans="1:6" ht="21" customHeight="1" x14ac:dyDescent="0.3">
      <c r="A119" s="30" t="s">
        <v>217</v>
      </c>
      <c r="B119" s="50">
        <f>B116+B117-B118</f>
        <v>92.796750893856625</v>
      </c>
      <c r="C119" s="50">
        <f>C116+C117-C118</f>
        <v>101.76246665562816</v>
      </c>
      <c r="D119" s="50">
        <f>D116+D117-D118</f>
        <v>101.76246665562816</v>
      </c>
      <c r="E119" s="50">
        <f>E116+E117-E118</f>
        <v>101.76246665562816</v>
      </c>
      <c r="F119" s="42"/>
    </row>
    <row r="120" spans="1:6" ht="18" customHeight="1" x14ac:dyDescent="0.3">
      <c r="A120" s="45"/>
      <c r="B120" s="42"/>
      <c r="C120" s="42"/>
      <c r="D120" s="42"/>
      <c r="E120" s="42"/>
      <c r="F120" s="42"/>
    </row>
    <row r="121" spans="1:6" ht="18" customHeight="1" x14ac:dyDescent="0.3">
      <c r="A121" s="32" t="s">
        <v>218</v>
      </c>
      <c r="B121" s="41"/>
      <c r="C121" s="41"/>
      <c r="D121" s="41"/>
      <c r="E121" s="41"/>
      <c r="F121" s="42"/>
    </row>
    <row r="122" spans="1:6" ht="20.399999999999999" customHeight="1" x14ac:dyDescent="0.3">
      <c r="A122" s="30" t="s">
        <v>219</v>
      </c>
      <c r="B122" s="48">
        <f>B103/B106</f>
        <v>0.63066080321519058</v>
      </c>
      <c r="C122" s="48">
        <f>C103/C106</f>
        <v>0.63393248833238847</v>
      </c>
      <c r="D122" s="48">
        <f>D103/D106</f>
        <v>0.63580976751277751</v>
      </c>
      <c r="E122" s="48">
        <f>E103/E106</f>
        <v>0.63658178818761646</v>
      </c>
      <c r="F122" s="42"/>
    </row>
    <row r="123" spans="1:6" ht="18" customHeight="1" x14ac:dyDescent="0.3">
      <c r="A123" s="43" t="s">
        <v>220</v>
      </c>
      <c r="B123" s="51">
        <f>B103/B97</f>
        <v>0.28428335127471316</v>
      </c>
      <c r="C123" s="51">
        <f>C103/C97</f>
        <v>0.28189298845029936</v>
      </c>
      <c r="D123" s="51">
        <f>D103/D97</f>
        <v>0.28133841878553034</v>
      </c>
      <c r="E123" s="51">
        <f>E103/E97</f>
        <v>0.28077127756485687</v>
      </c>
      <c r="F123" s="42"/>
    </row>
    <row r="124" spans="1:6" ht="16.8" customHeight="1" x14ac:dyDescent="0.3">
      <c r="A124" s="43" t="s">
        <v>221</v>
      </c>
      <c r="B124" s="51">
        <f>B106/B97</f>
        <v>0.45077060414314596</v>
      </c>
      <c r="C124" s="51">
        <f>C106/C97</f>
        <v>0.44467351593202309</v>
      </c>
      <c r="D124" s="51">
        <f>D106/D97</f>
        <v>0.44248835604727704</v>
      </c>
      <c r="E124" s="51">
        <f>E106/E97</f>
        <v>0.44106080754246557</v>
      </c>
      <c r="F124" s="42"/>
    </row>
    <row r="125" spans="1:6" ht="18.600000000000001" customHeight="1" x14ac:dyDescent="0.3">
      <c r="A125" s="30" t="s">
        <v>222</v>
      </c>
      <c r="B125" s="16">
        <f>B103-B91</f>
        <v>18985</v>
      </c>
      <c r="C125" s="16">
        <f>C103-C91</f>
        <v>20878.346494404177</v>
      </c>
      <c r="D125" s="16">
        <f>D103-D91</f>
        <v>22703.00679337134</v>
      </c>
      <c r="E125" s="16">
        <f>E103-E91</f>
        <v>24363.102700755378</v>
      </c>
      <c r="F125" s="42"/>
    </row>
    <row r="126" spans="1:6" ht="16.8" customHeight="1" x14ac:dyDescent="0.3">
      <c r="A126" s="43" t="s">
        <v>223</v>
      </c>
      <c r="B126" s="44">
        <f>F26</f>
        <v>6053</v>
      </c>
      <c r="C126" s="44">
        <f>C59+C143</f>
        <v>7069.3837599356475</v>
      </c>
      <c r="D126" s="44">
        <f>D59+D143</f>
        <v>7352.1591103330775</v>
      </c>
      <c r="E126" s="44">
        <f>E59+E143</f>
        <v>7572.7238836430643</v>
      </c>
      <c r="F126" s="42"/>
    </row>
    <row r="127" spans="1:6" ht="15.6" customHeight="1" x14ac:dyDescent="0.3">
      <c r="A127" s="30" t="s">
        <v>224</v>
      </c>
      <c r="B127" s="48">
        <f>B125/B126</f>
        <v>3.1364612588798941</v>
      </c>
      <c r="C127" s="48">
        <f>C125/C126</f>
        <v>2.9533474491409182</v>
      </c>
      <c r="D127" s="48">
        <f>D125/D126</f>
        <v>3.0879373599876865</v>
      </c>
      <c r="E127" s="48">
        <f>E125/E126</f>
        <v>3.2172178829046185</v>
      </c>
      <c r="F127" s="42"/>
    </row>
    <row r="128" spans="1:6" ht="18" customHeight="1" x14ac:dyDescent="0.3">
      <c r="A128" s="45"/>
      <c r="B128" s="42"/>
      <c r="C128" s="42"/>
      <c r="D128" s="42"/>
      <c r="E128" s="42"/>
      <c r="F128" s="42"/>
    </row>
    <row r="129" spans="1:6" ht="21" customHeight="1" x14ac:dyDescent="0.3">
      <c r="A129" s="32" t="s">
        <v>225</v>
      </c>
      <c r="B129" s="41"/>
      <c r="C129" s="41"/>
      <c r="D129" s="41"/>
      <c r="E129" s="41"/>
      <c r="F129" s="42"/>
    </row>
    <row r="130" spans="1:6" ht="18" customHeight="1" x14ac:dyDescent="0.3">
      <c r="A130" s="52" t="s">
        <v>226</v>
      </c>
      <c r="B130" s="47">
        <f>AVERAGE(B42:F42)</f>
        <v>54.747720107099383</v>
      </c>
      <c r="C130" s="42"/>
      <c r="D130" s="42"/>
      <c r="E130" s="42"/>
      <c r="F130" s="42"/>
    </row>
    <row r="131" spans="1:6" ht="18" customHeight="1" x14ac:dyDescent="0.3">
      <c r="A131" s="52" t="s">
        <v>227</v>
      </c>
      <c r="B131" s="47">
        <f>AVERAGE(B41:F41)</f>
        <v>94.939722590954815</v>
      </c>
      <c r="C131" s="42"/>
      <c r="D131" s="42"/>
      <c r="E131" s="42"/>
      <c r="F131" s="42"/>
    </row>
    <row r="132" spans="1:6" ht="18" customHeight="1" x14ac:dyDescent="0.3">
      <c r="A132" s="52" t="s">
        <v>228</v>
      </c>
      <c r="B132" s="47">
        <f>AVERAGE(B43:F43)</f>
        <v>47.924976042426053</v>
      </c>
      <c r="C132" s="42"/>
      <c r="D132" s="42"/>
      <c r="E132" s="42"/>
      <c r="F132" s="42"/>
    </row>
    <row r="133" spans="1:6" ht="18" customHeight="1" x14ac:dyDescent="0.3">
      <c r="A133" s="53" t="s">
        <v>229</v>
      </c>
      <c r="B133" s="47">
        <f>'Balance Sheet'!F14-'Balance Sheet'!F3-'Balance Sheet'!F8-'Balance Sheet'!F11</f>
        <v>8519</v>
      </c>
      <c r="C133" s="42"/>
      <c r="D133" s="42"/>
      <c r="E133" s="42"/>
      <c r="F133" s="42"/>
    </row>
    <row r="134" spans="1:6" ht="18" customHeight="1" x14ac:dyDescent="0.3">
      <c r="A134" s="53" t="s">
        <v>230</v>
      </c>
      <c r="B134" s="47">
        <f>'Balance Sheet'!F36-'Balance Sheet'!F28-N('Balance Sheet'!F30)-'Balance Sheet'!F31</f>
        <v>7760</v>
      </c>
      <c r="C134" s="42"/>
      <c r="D134" s="42"/>
      <c r="E134" s="42"/>
      <c r="F134" s="42"/>
    </row>
    <row r="135" spans="1:6" ht="18" customHeight="1" x14ac:dyDescent="0.3">
      <c r="A135" s="53" t="s">
        <v>231</v>
      </c>
      <c r="B135" s="47">
        <f>'Balance Sheet'!F43-'Balance Sheet'!F36-'Balance Sheet'!F37</f>
        <v>6938</v>
      </c>
      <c r="C135" s="42"/>
      <c r="D135" s="42"/>
      <c r="E135" s="42"/>
      <c r="F135" s="42"/>
    </row>
    <row r="136" spans="1:6" ht="18" customHeight="1" x14ac:dyDescent="0.3">
      <c r="A136" s="53" t="s">
        <v>232</v>
      </c>
      <c r="B136" s="47">
        <f>'Balance Sheet'!F44</f>
        <v>21655</v>
      </c>
      <c r="C136" s="42"/>
      <c r="D136" s="42"/>
      <c r="E136" s="42"/>
      <c r="F136" s="42"/>
    </row>
    <row r="137" spans="1:6" ht="18" customHeight="1" x14ac:dyDescent="0.3">
      <c r="A137" s="54" t="s">
        <v>233</v>
      </c>
      <c r="B137" s="36">
        <f>AVERAGE(B35:F35)</f>
        <v>5.2467895224517183E-2</v>
      </c>
      <c r="C137" s="42"/>
      <c r="D137" s="42"/>
      <c r="E137" s="42"/>
      <c r="F137" s="42"/>
    </row>
    <row r="138" spans="1:6" ht="18" customHeight="1" x14ac:dyDescent="0.3">
      <c r="A138" s="54" t="s">
        <v>234</v>
      </c>
      <c r="B138" s="36">
        <f>AVERAGE(B36:F36)</f>
        <v>-6.9146818121222656E-2</v>
      </c>
      <c r="C138" s="42"/>
      <c r="D138" s="42"/>
      <c r="E138" s="42"/>
      <c r="F138" s="42"/>
    </row>
    <row r="139" spans="1:6" ht="18" customHeight="1" x14ac:dyDescent="0.3">
      <c r="A139" s="53" t="s">
        <v>235</v>
      </c>
      <c r="B139" s="47">
        <f>'Cash Flow'!F32*-1</f>
        <v>2086</v>
      </c>
      <c r="C139" s="42"/>
      <c r="D139" s="42"/>
      <c r="E139" s="42"/>
      <c r="F139" s="42"/>
    </row>
    <row r="140" spans="1:6" ht="18" customHeight="1" x14ac:dyDescent="0.3">
      <c r="A140" s="45"/>
      <c r="B140" s="42"/>
      <c r="C140" s="42"/>
      <c r="D140" s="42"/>
      <c r="E140" s="42"/>
      <c r="F140" s="42"/>
    </row>
    <row r="141" spans="1:6" ht="19.2" customHeight="1" x14ac:dyDescent="0.3">
      <c r="A141" s="20" t="s">
        <v>236</v>
      </c>
      <c r="B141" s="21" t="s">
        <v>170</v>
      </c>
      <c r="C141" s="21" t="s">
        <v>171</v>
      </c>
      <c r="D141" s="21" t="s">
        <v>172</v>
      </c>
      <c r="E141" s="21" t="s">
        <v>173</v>
      </c>
      <c r="F141" s="42"/>
    </row>
    <row r="142" spans="1:6" ht="18" customHeight="1" x14ac:dyDescent="0.3">
      <c r="A142" s="43" t="s">
        <v>27</v>
      </c>
      <c r="B142" s="42"/>
      <c r="C142" s="44">
        <f>C65</f>
        <v>1908.7889342526948</v>
      </c>
      <c r="D142" s="44">
        <f>D65</f>
        <v>1985.1404916228048</v>
      </c>
      <c r="E142" s="44">
        <f>E65</f>
        <v>2044.6947063714856</v>
      </c>
      <c r="F142" s="42"/>
    </row>
    <row r="143" spans="1:6" ht="18" customHeight="1" x14ac:dyDescent="0.3">
      <c r="A143" s="43" t="s">
        <v>91</v>
      </c>
      <c r="B143" s="42"/>
      <c r="C143" s="44">
        <f>C56*$B$137</f>
        <v>3317.8818589335633</v>
      </c>
      <c r="D143" s="44">
        <f>D56*$B$137</f>
        <v>3450.5971332909062</v>
      </c>
      <c r="E143" s="44">
        <f>E56*$B$137</f>
        <v>3554.1150472896329</v>
      </c>
      <c r="F143" s="42"/>
    </row>
    <row r="144" spans="1:6" ht="18" customHeight="1" x14ac:dyDescent="0.3">
      <c r="A144" s="43" t="s">
        <v>237</v>
      </c>
      <c r="B144" s="42"/>
      <c r="C144" s="44">
        <f t="shared" ref="C144:E145" si="0">-(C92-B92)</f>
        <v>-1158.0680074931006</v>
      </c>
      <c r="D144" s="44">
        <f t="shared" si="0"/>
        <v>-379.40272029972584</v>
      </c>
      <c r="E144" s="44">
        <f t="shared" si="0"/>
        <v>-295.93412183378314</v>
      </c>
      <c r="F144" s="42"/>
    </row>
    <row r="145" spans="1:6" ht="18" customHeight="1" x14ac:dyDescent="0.3">
      <c r="A145" s="43" t="s">
        <v>238</v>
      </c>
      <c r="B145" s="42"/>
      <c r="C145" s="44">
        <f t="shared" si="0"/>
        <v>-326.4943896864188</v>
      </c>
      <c r="D145" s="44">
        <f t="shared" si="0"/>
        <v>-499.77977558745988</v>
      </c>
      <c r="E145" s="44">
        <f t="shared" si="0"/>
        <v>-389.82822495821711</v>
      </c>
      <c r="F145" s="42"/>
    </row>
    <row r="146" spans="1:6" ht="18" customHeight="1" x14ac:dyDescent="0.3">
      <c r="A146" s="43" t="s">
        <v>239</v>
      </c>
      <c r="B146" s="42"/>
      <c r="C146" s="44">
        <f>C100-B100</f>
        <v>823.1423419663297</v>
      </c>
      <c r="D146" s="44">
        <f>D100-C100</f>
        <v>252.28569367865293</v>
      </c>
      <c r="E146" s="44">
        <f>E100-D100</f>
        <v>196.78284106935098</v>
      </c>
      <c r="F146" s="42"/>
    </row>
    <row r="147" spans="1:6" ht="18" customHeight="1" x14ac:dyDescent="0.3">
      <c r="A147" s="43" t="s">
        <v>240</v>
      </c>
      <c r="B147" s="42"/>
      <c r="C147" s="44">
        <f>C144+C145+C146</f>
        <v>-661.4200552131897</v>
      </c>
      <c r="D147" s="44">
        <f>D144+D145+D146</f>
        <v>-626.89680220853279</v>
      </c>
      <c r="E147" s="44">
        <f>E144+E145+E146</f>
        <v>-488.97950572264926</v>
      </c>
      <c r="F147" s="42"/>
    </row>
    <row r="148" spans="1:6" ht="18" customHeight="1" x14ac:dyDescent="0.3">
      <c r="A148" s="30" t="s">
        <v>101</v>
      </c>
      <c r="B148" s="31"/>
      <c r="C148" s="16">
        <f>C142+C143+C147</f>
        <v>4565.2507379730687</v>
      </c>
      <c r="D148" s="16">
        <f>D142+D143+D147</f>
        <v>4808.8408227051777</v>
      </c>
      <c r="E148" s="16">
        <f>E142+E143+E147</f>
        <v>5109.8302479384693</v>
      </c>
      <c r="F148" s="42"/>
    </row>
    <row r="149" spans="1:6" ht="18" customHeight="1" x14ac:dyDescent="0.3">
      <c r="A149" s="45"/>
      <c r="B149" s="42"/>
      <c r="C149" s="42"/>
      <c r="D149" s="42"/>
      <c r="E149" s="42"/>
      <c r="F149" s="42"/>
    </row>
    <row r="150" spans="1:6" ht="18" customHeight="1" x14ac:dyDescent="0.3">
      <c r="A150" s="43" t="s">
        <v>241</v>
      </c>
      <c r="B150" s="42"/>
      <c r="C150" s="44">
        <f>C56*$B$138</f>
        <v>-4372.5972323772476</v>
      </c>
      <c r="D150" s="44">
        <f>D56*$B$138</f>
        <v>-4547.5011216723378</v>
      </c>
      <c r="E150" s="44">
        <f>E56*$B$138</f>
        <v>-4683.9261553225069</v>
      </c>
      <c r="F150" s="42"/>
    </row>
    <row r="151" spans="1:6" ht="17.399999999999999" customHeight="1" x14ac:dyDescent="0.3">
      <c r="A151" s="30" t="s">
        <v>150</v>
      </c>
      <c r="B151" s="31"/>
      <c r="C151" s="16">
        <f>C148+C150</f>
        <v>192.65350559582112</v>
      </c>
      <c r="D151" s="16">
        <f>D148+D150</f>
        <v>261.33970103283991</v>
      </c>
      <c r="E151" s="16">
        <f>E148+E150</f>
        <v>425.90409261596233</v>
      </c>
      <c r="F151" s="42"/>
    </row>
    <row r="152" spans="1:6" ht="18" customHeight="1" x14ac:dyDescent="0.3">
      <c r="A152" s="45"/>
      <c r="B152" s="42"/>
      <c r="C152" s="42"/>
      <c r="D152" s="42"/>
      <c r="E152" s="42"/>
      <c r="F152" s="42"/>
    </row>
    <row r="153" spans="1:6" ht="18" customHeight="1" x14ac:dyDescent="0.3">
      <c r="A153" s="55" t="s">
        <v>242</v>
      </c>
      <c r="B153" s="56"/>
      <c r="C153" s="57">
        <f>C108</f>
        <v>0</v>
      </c>
      <c r="D153" s="57">
        <f>D108</f>
        <v>0</v>
      </c>
      <c r="E153" s="57">
        <f>E108</f>
        <v>0</v>
      </c>
      <c r="F153" s="56"/>
    </row>
    <row r="154" spans="1:6" ht="22.2" customHeight="1" x14ac:dyDescent="0.3">
      <c r="A154" s="43" t="s">
        <v>243</v>
      </c>
      <c r="B154" s="42"/>
      <c r="C154" s="44">
        <f>-C107</f>
        <v>-2086</v>
      </c>
      <c r="D154" s="44">
        <f>-D107</f>
        <v>-2086</v>
      </c>
      <c r="E154" s="44">
        <f>-E107</f>
        <v>-2086</v>
      </c>
      <c r="F154" s="42"/>
    </row>
    <row r="155" spans="1:6" ht="17.399999999999999" customHeight="1" x14ac:dyDescent="0.3">
      <c r="A155" s="43" t="s">
        <v>117</v>
      </c>
      <c r="B155" s="42"/>
      <c r="C155" s="58">
        <f>C153+C154</f>
        <v>-2086</v>
      </c>
      <c r="D155" s="58">
        <f>D153+D154</f>
        <v>-2086</v>
      </c>
      <c r="E155" s="58">
        <f>E153+E154</f>
        <v>-2086</v>
      </c>
      <c r="F155" s="42"/>
    </row>
    <row r="156" spans="1:6" ht="18" customHeight="1" x14ac:dyDescent="0.3">
      <c r="A156" s="45"/>
      <c r="B156" s="42"/>
      <c r="C156" s="42"/>
      <c r="D156" s="42"/>
      <c r="E156" s="42"/>
      <c r="F156" s="42"/>
    </row>
    <row r="157" spans="1:6" ht="18" customHeight="1" x14ac:dyDescent="0.3">
      <c r="A157" s="30" t="s">
        <v>244</v>
      </c>
      <c r="B157" s="31"/>
      <c r="C157" s="16">
        <f>C148+C150+C155</f>
        <v>-1893.3464944041789</v>
      </c>
      <c r="D157" s="16">
        <f>D148+D150+D155</f>
        <v>-1824.6602989671601</v>
      </c>
      <c r="E157" s="16">
        <f>E148+E150+E155</f>
        <v>-1660.0959073840377</v>
      </c>
      <c r="F157" s="42"/>
    </row>
    <row r="158" spans="1:6" ht="21" customHeight="1" x14ac:dyDescent="0.3">
      <c r="A158" s="43" t="s">
        <v>245</v>
      </c>
      <c r="B158" s="42"/>
      <c r="C158" s="44">
        <f>'Balance Sheet'!F3</f>
        <v>2670</v>
      </c>
      <c r="D158" s="44">
        <f>C159</f>
        <v>776.65350559582112</v>
      </c>
      <c r="E158" s="44">
        <f>D159</f>
        <v>-1048.006793371339</v>
      </c>
      <c r="F158" s="42"/>
    </row>
    <row r="159" spans="1:6" ht="19.2" customHeight="1" x14ac:dyDescent="0.3">
      <c r="A159" s="30" t="s">
        <v>246</v>
      </c>
      <c r="B159" s="31"/>
      <c r="C159" s="16">
        <f>C158+C157</f>
        <v>776.65350559582112</v>
      </c>
      <c r="D159" s="16">
        <f>D158+D157</f>
        <v>-1048.006793371339</v>
      </c>
      <c r="E159" s="16">
        <f>E158+E157</f>
        <v>-2708.1027007553766</v>
      </c>
      <c r="F159" s="42"/>
    </row>
    <row r="160" spans="1:6" ht="18" customHeight="1" x14ac:dyDescent="0.3">
      <c r="A160" s="45"/>
      <c r="B160" s="42"/>
      <c r="C160" s="42"/>
      <c r="D160" s="42"/>
      <c r="E160" s="42"/>
      <c r="F160" s="42"/>
    </row>
    <row r="161" spans="1:6" ht="23.4" customHeight="1" x14ac:dyDescent="0.3">
      <c r="A161" s="20" t="s">
        <v>247</v>
      </c>
      <c r="B161" s="21" t="s">
        <v>170</v>
      </c>
      <c r="C161" s="21" t="s">
        <v>171</v>
      </c>
      <c r="D161" s="21" t="s">
        <v>172</v>
      </c>
      <c r="E161" s="21" t="s">
        <v>173</v>
      </c>
      <c r="F161" s="42"/>
    </row>
    <row r="162" spans="1:6" ht="18" customHeight="1" x14ac:dyDescent="0.3">
      <c r="A162" s="43" t="s">
        <v>246</v>
      </c>
      <c r="B162" s="44">
        <f>'Balance Sheet'!F3</f>
        <v>2670</v>
      </c>
      <c r="C162" s="44">
        <f>C159</f>
        <v>776.65350559582112</v>
      </c>
      <c r="D162" s="44">
        <f>D159</f>
        <v>-1048.006793371339</v>
      </c>
      <c r="E162" s="44">
        <f>E159</f>
        <v>-2708.1027007553766</v>
      </c>
      <c r="F162" s="42"/>
    </row>
    <row r="163" spans="1:6" ht="19.2" customHeight="1" x14ac:dyDescent="0.3">
      <c r="A163" s="30" t="s">
        <v>150</v>
      </c>
      <c r="B163" s="31"/>
      <c r="C163" s="16">
        <f>C151</f>
        <v>192.65350559582112</v>
      </c>
      <c r="D163" s="16">
        <f>D151</f>
        <v>261.33970103283991</v>
      </c>
      <c r="E163" s="16">
        <f>E151</f>
        <v>425.90409261596233</v>
      </c>
      <c r="F163" s="42"/>
    </row>
    <row r="164" spans="1:6" ht="18" customHeight="1" x14ac:dyDescent="0.3">
      <c r="A164" s="43" t="s">
        <v>101</v>
      </c>
      <c r="B164" s="42"/>
      <c r="C164" s="44">
        <f>C148</f>
        <v>4565.2507379730687</v>
      </c>
      <c r="D164" s="44">
        <f>D148</f>
        <v>4808.8408227051777</v>
      </c>
      <c r="E164" s="44">
        <f>E148</f>
        <v>5109.8302479384693</v>
      </c>
      <c r="F164" s="42"/>
    </row>
    <row r="165" spans="1:6" ht="18" customHeight="1" x14ac:dyDescent="0.3">
      <c r="A165" s="43" t="s">
        <v>248</v>
      </c>
      <c r="B165" s="42"/>
      <c r="C165" s="59">
        <f>C148/C103</f>
        <v>0.21081739727421236</v>
      </c>
      <c r="D165" s="59">
        <f>D148/D103</f>
        <v>0.2220660735490731</v>
      </c>
      <c r="E165" s="59">
        <f>E148/E103</f>
        <v>0.23596537741576862</v>
      </c>
      <c r="F165" s="42"/>
    </row>
    <row r="166" spans="1:6" ht="18" customHeight="1" x14ac:dyDescent="0.3">
      <c r="A166" s="43" t="s">
        <v>249</v>
      </c>
      <c r="B166" s="42"/>
      <c r="C166" s="59">
        <f>C148/ABS(C61)</f>
        <v>6.3473243858512269</v>
      </c>
      <c r="D166" s="59">
        <f>D148/ABS(D61)</f>
        <v>6.4288474570742418</v>
      </c>
      <c r="E166" s="59">
        <f>E148/ABS(E61)</f>
        <v>6.6322664770876063</v>
      </c>
      <c r="F166" s="42"/>
    </row>
    <row r="167" spans="1:6" ht="18" customHeight="1" x14ac:dyDescent="0.3">
      <c r="A167" s="43" t="s">
        <v>213</v>
      </c>
      <c r="B167" s="59">
        <f>B115</f>
        <v>0.20160072485653882</v>
      </c>
      <c r="C167" s="59">
        <f>C115</f>
        <v>5.5210467536028297E-2</v>
      </c>
      <c r="D167" s="59">
        <f>D115</f>
        <v>-7.3187755178667949E-2</v>
      </c>
      <c r="E167" s="59">
        <f>E115</f>
        <v>-0.18655713421051798</v>
      </c>
      <c r="F167" s="42"/>
    </row>
    <row r="168" spans="1:6" ht="18" customHeight="1" x14ac:dyDescent="0.3">
      <c r="A168" s="43" t="s">
        <v>211</v>
      </c>
      <c r="B168" s="59">
        <f>B113</f>
        <v>2.3923286016309273</v>
      </c>
      <c r="C168" s="59">
        <f>C113</f>
        <v>2.2232813987722566</v>
      </c>
      <c r="D168" s="59">
        <f>D113</f>
        <v>2.1180830703709908</v>
      </c>
      <c r="E168" s="59">
        <f>E113</f>
        <v>2.0222497997871307</v>
      </c>
      <c r="F168" s="42"/>
    </row>
    <row r="169" spans="1:6" ht="18" customHeight="1" x14ac:dyDescent="0.3">
      <c r="A169" s="30" t="s">
        <v>250</v>
      </c>
      <c r="B169" s="31"/>
      <c r="C169" s="16">
        <f>MIN(C159,0)</f>
        <v>0</v>
      </c>
      <c r="D169" s="16">
        <f>MIN(D159,0)</f>
        <v>-1048.006793371339</v>
      </c>
      <c r="E169" s="16">
        <f>MIN(E159,0)</f>
        <v>-2708.1027007553766</v>
      </c>
      <c r="F169" s="42"/>
    </row>
    <row r="170" spans="1:6" ht="18" customHeight="1" x14ac:dyDescent="0.3">
      <c r="A170" s="45"/>
      <c r="B170" s="42"/>
      <c r="C170" s="42"/>
      <c r="D170" s="42"/>
      <c r="E170" s="42"/>
      <c r="F170" s="42"/>
    </row>
    <row r="171" spans="1:6" ht="18" customHeight="1" x14ac:dyDescent="0.3">
      <c r="A171" s="32" t="s">
        <v>251</v>
      </c>
      <c r="B171" s="41"/>
      <c r="C171" s="41"/>
      <c r="D171" s="41"/>
      <c r="E171" s="41"/>
      <c r="F171" s="12"/>
    </row>
    <row r="172" spans="1:6" ht="18" customHeight="1" x14ac:dyDescent="0.3">
      <c r="A172" s="11"/>
      <c r="B172" s="12"/>
      <c r="C172" s="12"/>
      <c r="D172" s="12"/>
      <c r="E172" s="12"/>
      <c r="F172" s="12"/>
    </row>
    <row r="173" spans="1:6" ht="36" customHeight="1" x14ac:dyDescent="0.3">
      <c r="A173" s="32" t="s">
        <v>252</v>
      </c>
      <c r="B173" s="41"/>
      <c r="C173" s="41"/>
      <c r="D173" s="41"/>
      <c r="E173" s="41"/>
      <c r="F173" s="12"/>
    </row>
    <row r="174" spans="1:6" ht="18" customHeight="1" x14ac:dyDescent="0.3">
      <c r="A174" s="20" t="s">
        <v>253</v>
      </c>
      <c r="B174" s="21" t="s">
        <v>254</v>
      </c>
      <c r="C174" s="21" t="s">
        <v>255</v>
      </c>
      <c r="D174" s="21" t="s">
        <v>256</v>
      </c>
      <c r="E174" s="20"/>
      <c r="F174" s="12"/>
    </row>
    <row r="175" spans="1:6" ht="18" customHeight="1" x14ac:dyDescent="0.3">
      <c r="A175" s="43" t="s">
        <v>257</v>
      </c>
      <c r="B175" s="60" t="s">
        <v>258</v>
      </c>
      <c r="C175" s="60" t="s">
        <v>259</v>
      </c>
      <c r="D175" s="60" t="s">
        <v>260</v>
      </c>
      <c r="E175" s="12"/>
      <c r="F175" s="12"/>
    </row>
    <row r="176" spans="1:6" ht="18" customHeight="1" x14ac:dyDescent="0.3">
      <c r="A176" s="43" t="s">
        <v>261</v>
      </c>
      <c r="B176" s="51">
        <f>A81</f>
        <v>0.75961987132536968</v>
      </c>
      <c r="C176" s="51">
        <f>A81+0.015</f>
        <v>0.77461987132536969</v>
      </c>
      <c r="D176" s="51">
        <f>A81-0.01</f>
        <v>0.74961987132536967</v>
      </c>
      <c r="E176" s="12"/>
      <c r="F176" s="12"/>
    </row>
    <row r="177" spans="1:6" ht="18" customHeight="1" x14ac:dyDescent="0.3">
      <c r="A177" s="43" t="s">
        <v>262</v>
      </c>
      <c r="B177" s="51">
        <f>A84</f>
        <v>0.18105510836193575</v>
      </c>
      <c r="C177" s="51">
        <f>A84+0.01</f>
        <v>0.19105510836193576</v>
      </c>
      <c r="D177" s="51">
        <f>A84-0.01</f>
        <v>0.17105510836193574</v>
      </c>
      <c r="E177" s="12"/>
      <c r="F177" s="12"/>
    </row>
    <row r="178" spans="1:6" ht="18" customHeight="1" x14ac:dyDescent="0.3">
      <c r="A178" s="43" t="s">
        <v>263</v>
      </c>
      <c r="B178" s="51">
        <f>A87</f>
        <v>-1.1373828256845724E-2</v>
      </c>
      <c r="C178" s="51">
        <f>A87-0.005</f>
        <v>-1.6373828256845725E-2</v>
      </c>
      <c r="D178" s="51">
        <f>A87+0.003</f>
        <v>-8.3738282568457251E-3</v>
      </c>
      <c r="E178" s="12"/>
      <c r="F178" s="12"/>
    </row>
    <row r="179" spans="1:6" ht="18" customHeight="1" x14ac:dyDescent="0.3">
      <c r="A179" s="43" t="s">
        <v>135</v>
      </c>
      <c r="B179" s="51">
        <f>F13</f>
        <v>0.37050653594771243</v>
      </c>
      <c r="C179" s="51">
        <f>F13</f>
        <v>0.37050653594771243</v>
      </c>
      <c r="D179" s="51">
        <f>F13</f>
        <v>0.37050653594771243</v>
      </c>
      <c r="E179" s="12"/>
      <c r="F179" s="12"/>
    </row>
    <row r="180" spans="1:6" ht="18" customHeight="1" x14ac:dyDescent="0.3">
      <c r="A180" s="11"/>
      <c r="B180" s="12"/>
      <c r="C180" s="12"/>
      <c r="D180" s="12"/>
      <c r="E180" s="12"/>
      <c r="F180" s="12"/>
    </row>
    <row r="181" spans="1:6" ht="18" customHeight="1" x14ac:dyDescent="0.3">
      <c r="A181" s="20" t="s">
        <v>264</v>
      </c>
      <c r="B181" s="21" t="s">
        <v>170</v>
      </c>
      <c r="C181" s="21" t="s">
        <v>171</v>
      </c>
      <c r="D181" s="21" t="s">
        <v>172</v>
      </c>
      <c r="E181" s="21" t="s">
        <v>173</v>
      </c>
      <c r="F181" s="12"/>
    </row>
    <row r="182" spans="1:6" ht="18" customHeight="1" x14ac:dyDescent="0.3">
      <c r="A182" s="43" t="s">
        <v>174</v>
      </c>
      <c r="B182" s="12"/>
      <c r="C182" s="61">
        <v>0.03</v>
      </c>
      <c r="D182" s="61">
        <v>0.01</v>
      </c>
      <c r="E182" s="61">
        <v>0</v>
      </c>
      <c r="F182" s="12"/>
    </row>
    <row r="183" spans="1:6" ht="18" customHeight="1" x14ac:dyDescent="0.3">
      <c r="A183" s="43" t="s">
        <v>1</v>
      </c>
      <c r="B183" s="44">
        <f>F4</f>
        <v>59657</v>
      </c>
      <c r="C183" s="44">
        <f>B183*(1+C182)</f>
        <v>61446.71</v>
      </c>
      <c r="D183" s="44">
        <f>C183*(1+D182)</f>
        <v>62061.177100000001</v>
      </c>
      <c r="E183" s="44">
        <f>D183*(1+E182)</f>
        <v>62061.177100000001</v>
      </c>
      <c r="F183" s="12"/>
    </row>
    <row r="184" spans="1:6" ht="18" customHeight="1" x14ac:dyDescent="0.3">
      <c r="A184" s="43" t="s">
        <v>3</v>
      </c>
      <c r="B184" s="12"/>
      <c r="C184" s="44">
        <f>C183*$C$176</f>
        <v>47597.842593567308</v>
      </c>
      <c r="D184" s="44">
        <f>D183*$C$176</f>
        <v>48073.821019502982</v>
      </c>
      <c r="E184" s="44">
        <f>E183*$C$176</f>
        <v>48073.821019502982</v>
      </c>
      <c r="F184" s="12"/>
    </row>
    <row r="185" spans="1:6" ht="18" customHeight="1" x14ac:dyDescent="0.3">
      <c r="A185" s="43" t="s">
        <v>178</v>
      </c>
      <c r="B185" s="12"/>
      <c r="C185" s="44">
        <f>C183*$C$177</f>
        <v>11739.707837534441</v>
      </c>
      <c r="D185" s="44">
        <f>D183*$C$177</f>
        <v>11857.104915909786</v>
      </c>
      <c r="E185" s="44">
        <f>E183*$C$177</f>
        <v>11857.104915909786</v>
      </c>
      <c r="F185" s="12"/>
    </row>
    <row r="186" spans="1:6" ht="18" customHeight="1" x14ac:dyDescent="0.3">
      <c r="A186" s="43" t="s">
        <v>179</v>
      </c>
      <c r="B186" s="12"/>
      <c r="C186" s="58">
        <f>C183-C184-C185</f>
        <v>2109.1595688982507</v>
      </c>
      <c r="D186" s="58">
        <f>D183-D184-D185</f>
        <v>2130.2511645872328</v>
      </c>
      <c r="E186" s="58">
        <f>E183-E184-E185</f>
        <v>2130.2511645872328</v>
      </c>
      <c r="F186" s="12"/>
    </row>
    <row r="187" spans="1:6" ht="18" customHeight="1" x14ac:dyDescent="0.3">
      <c r="A187" s="43" t="s">
        <v>10</v>
      </c>
      <c r="B187" s="12"/>
      <c r="C187" s="44">
        <f>C183*$C$178</f>
        <v>-1006.1178764882047</v>
      </c>
      <c r="D187" s="44">
        <f>D183*$C$178</f>
        <v>-1016.1790552530869</v>
      </c>
      <c r="E187" s="44">
        <f>E183*$C$178</f>
        <v>-1016.1790552530869</v>
      </c>
      <c r="F187" s="12"/>
    </row>
    <row r="188" spans="1:6" ht="18" customHeight="1" x14ac:dyDescent="0.3">
      <c r="A188" s="43" t="s">
        <v>180</v>
      </c>
      <c r="B188" s="12"/>
      <c r="C188" s="44">
        <f>C186+C187</f>
        <v>1103.0416924100459</v>
      </c>
      <c r="D188" s="44">
        <f>D186+D187</f>
        <v>1114.0721093341458</v>
      </c>
      <c r="E188" s="44">
        <f>E186+E187</f>
        <v>1114.0721093341458</v>
      </c>
      <c r="F188" s="12"/>
    </row>
    <row r="189" spans="1:6" ht="18" customHeight="1" x14ac:dyDescent="0.3">
      <c r="A189" s="43" t="s">
        <v>22</v>
      </c>
      <c r="B189" s="12"/>
      <c r="C189" s="44">
        <f>C188*$C$179</f>
        <v>408.68415646074823</v>
      </c>
      <c r="D189" s="44">
        <f>D188*$C$179</f>
        <v>412.77099802535554</v>
      </c>
      <c r="E189" s="44">
        <f>E188*$C$179</f>
        <v>412.77099802535554</v>
      </c>
      <c r="F189" s="12"/>
    </row>
    <row r="190" spans="1:6" ht="18" customHeight="1" x14ac:dyDescent="0.3">
      <c r="A190" s="43" t="s">
        <v>27</v>
      </c>
      <c r="B190" s="12"/>
      <c r="C190" s="58">
        <f>C188-C189</f>
        <v>694.3575359492977</v>
      </c>
      <c r="D190" s="58">
        <f>D188-D189</f>
        <v>701.30111130879027</v>
      </c>
      <c r="E190" s="58">
        <f>E188-E189</f>
        <v>701.30111130879027</v>
      </c>
      <c r="F190" s="12"/>
    </row>
    <row r="191" spans="1:6" ht="18" customHeight="1" x14ac:dyDescent="0.3">
      <c r="A191" s="43" t="s">
        <v>265</v>
      </c>
      <c r="B191" s="12"/>
      <c r="C191" s="44">
        <f>C183*$B$137</f>
        <v>3223.979542171292</v>
      </c>
      <c r="D191" s="44">
        <f>D183*$B$137</f>
        <v>3256.2193375930051</v>
      </c>
      <c r="E191" s="44">
        <f>E183*$B$137</f>
        <v>3256.2193375930051</v>
      </c>
      <c r="F191" s="12"/>
    </row>
    <row r="192" spans="1:6" ht="18" customHeight="1" x14ac:dyDescent="0.3">
      <c r="A192" s="43" t="s">
        <v>266</v>
      </c>
      <c r="B192" s="12"/>
      <c r="C192" s="44">
        <f>C183*$B$138</f>
        <v>-4248.8444805175131</v>
      </c>
      <c r="D192" s="44">
        <f>D183*$B$138</f>
        <v>-4291.3329253226884</v>
      </c>
      <c r="E192" s="44">
        <f>E183*$B$138</f>
        <v>-4291.3329253226884</v>
      </c>
      <c r="F192" s="12"/>
    </row>
    <row r="193" spans="1:6" ht="18" customHeight="1" x14ac:dyDescent="0.3">
      <c r="A193" s="43" t="s">
        <v>267</v>
      </c>
      <c r="B193" s="44">
        <f>'Balance Sheet'!F8</f>
        <v>8327</v>
      </c>
      <c r="C193" s="44">
        <f>C183*$B$130/365</f>
        <v>9216.6226865263143</v>
      </c>
      <c r="D193" s="44">
        <f>D183*$B$130/365</f>
        <v>9308.7889133915778</v>
      </c>
      <c r="E193" s="44">
        <f>E183*$B$130/365</f>
        <v>9308.7889133915778</v>
      </c>
      <c r="F193" s="12"/>
    </row>
    <row r="194" spans="1:6" ht="18" customHeight="1" x14ac:dyDescent="0.3">
      <c r="A194" s="43" t="s">
        <v>268</v>
      </c>
      <c r="B194" s="44">
        <f>'Balance Sheet'!F11</f>
        <v>12168</v>
      </c>
      <c r="C194" s="44">
        <f>C184*$B$131/365</f>
        <v>12380.619100715654</v>
      </c>
      <c r="D194" s="44">
        <f>D184*$B$131/365</f>
        <v>12504.425291722811</v>
      </c>
      <c r="E194" s="44">
        <f>E184*$B$131/365</f>
        <v>12504.425291722811</v>
      </c>
      <c r="F194" s="12"/>
    </row>
    <row r="195" spans="1:6" ht="18" customHeight="1" x14ac:dyDescent="0.3">
      <c r="A195" s="43" t="s">
        <v>269</v>
      </c>
      <c r="B195" s="44">
        <f>'Balance Sheet'!F28</f>
        <v>5484</v>
      </c>
      <c r="C195" s="44">
        <f>C184*$B$132/365</f>
        <v>6249.6588108709029</v>
      </c>
      <c r="D195" s="44">
        <f>D184*$B$132/365</f>
        <v>6312.1553989796121</v>
      </c>
      <c r="E195" s="44">
        <f>E184*$B$132/365</f>
        <v>6312.1553989796121</v>
      </c>
      <c r="F195" s="12"/>
    </row>
    <row r="196" spans="1:6" ht="18" customHeight="1" x14ac:dyDescent="0.3">
      <c r="A196" s="43" t="s">
        <v>240</v>
      </c>
      <c r="B196" s="12"/>
      <c r="C196" s="44">
        <f>-(C193-B193)-(C194-B194)+(C195-B195)</f>
        <v>-336.58297637106534</v>
      </c>
      <c r="D196" s="44">
        <f>-(D193-C193)-(D194-C194)+(D195-C195)</f>
        <v>-153.47582976371177</v>
      </c>
      <c r="E196" s="44">
        <f>-(E193-D193)-(E194-D194)+(E195-D195)</f>
        <v>0</v>
      </c>
      <c r="F196" s="12"/>
    </row>
    <row r="197" spans="1:6" ht="18" customHeight="1" x14ac:dyDescent="0.3">
      <c r="A197" s="43" t="s">
        <v>101</v>
      </c>
      <c r="B197" s="12"/>
      <c r="C197" s="58">
        <f>C190+C191+C196</f>
        <v>3581.7541017495241</v>
      </c>
      <c r="D197" s="58">
        <f>D190+D191+D196</f>
        <v>3804.0446191380834</v>
      </c>
      <c r="E197" s="58">
        <f>E190+E191+E196</f>
        <v>3957.5204489017951</v>
      </c>
      <c r="F197" s="12"/>
    </row>
    <row r="198" spans="1:6" ht="18" customHeight="1" x14ac:dyDescent="0.3">
      <c r="A198" s="43" t="s">
        <v>150</v>
      </c>
      <c r="B198" s="12"/>
      <c r="C198" s="58">
        <f>C197+C192</f>
        <v>-667.09037876798902</v>
      </c>
      <c r="D198" s="58">
        <f>D197+D192</f>
        <v>-487.28830618460506</v>
      </c>
      <c r="E198" s="58">
        <f>E197+E192</f>
        <v>-333.81247642089329</v>
      </c>
      <c r="F198" s="12"/>
    </row>
    <row r="199" spans="1:6" ht="18" customHeight="1" x14ac:dyDescent="0.3">
      <c r="A199" s="43" t="s">
        <v>270</v>
      </c>
      <c r="B199" s="12"/>
      <c r="C199" s="44">
        <f>-$B$139</f>
        <v>-2086</v>
      </c>
      <c r="D199" s="44">
        <f>-$B$139</f>
        <v>-2086</v>
      </c>
      <c r="E199" s="44">
        <f>-$B$139</f>
        <v>-2086</v>
      </c>
      <c r="F199" s="12"/>
    </row>
    <row r="200" spans="1:6" ht="18" customHeight="1" x14ac:dyDescent="0.3">
      <c r="A200" s="43" t="s">
        <v>244</v>
      </c>
      <c r="B200" s="12"/>
      <c r="C200" s="44">
        <f>C197+C192+C199</f>
        <v>-2753.090378767989</v>
      </c>
      <c r="D200" s="44">
        <f>D197+D192+D199</f>
        <v>-2573.2883061846051</v>
      </c>
      <c r="E200" s="44">
        <f>E197+E192+E199</f>
        <v>-2419.8124764208933</v>
      </c>
      <c r="F200" s="12"/>
    </row>
    <row r="201" spans="1:6" ht="18" customHeight="1" x14ac:dyDescent="0.3">
      <c r="A201" s="43" t="s">
        <v>246</v>
      </c>
      <c r="B201" s="58">
        <f>'Balance Sheet'!F3</f>
        <v>2670</v>
      </c>
      <c r="C201" s="58">
        <f>B201+C200</f>
        <v>-83.090378767989023</v>
      </c>
      <c r="D201" s="58">
        <f>C201+D200</f>
        <v>-2656.3786849525941</v>
      </c>
      <c r="E201" s="58">
        <f>D201+E200</f>
        <v>-5076.1911613734874</v>
      </c>
      <c r="F201" s="12"/>
    </row>
    <row r="202" spans="1:6" ht="18" customHeight="1" x14ac:dyDescent="0.3">
      <c r="A202" s="43" t="s">
        <v>271</v>
      </c>
      <c r="B202" s="12"/>
      <c r="C202" s="44">
        <f>$B$136</f>
        <v>21655</v>
      </c>
      <c r="D202" s="44">
        <f>$B$136</f>
        <v>21655</v>
      </c>
      <c r="E202" s="44">
        <f>$B$136</f>
        <v>21655</v>
      </c>
      <c r="F202" s="12"/>
    </row>
    <row r="203" spans="1:6" ht="18" customHeight="1" x14ac:dyDescent="0.3">
      <c r="A203" s="43" t="s">
        <v>145</v>
      </c>
      <c r="B203" s="12"/>
      <c r="C203" s="44">
        <f>C202-C201</f>
        <v>21738.090378767989</v>
      </c>
      <c r="D203" s="44">
        <f>D202-D201</f>
        <v>24311.378684952593</v>
      </c>
      <c r="E203" s="44">
        <f>E202-E201</f>
        <v>26731.191161373488</v>
      </c>
      <c r="F203" s="12"/>
    </row>
    <row r="204" spans="1:6" ht="18" customHeight="1" x14ac:dyDescent="0.3">
      <c r="A204" s="43" t="s">
        <v>146</v>
      </c>
      <c r="B204" s="12"/>
      <c r="C204" s="44">
        <f>C186+C191</f>
        <v>5333.1391110695422</v>
      </c>
      <c r="D204" s="44">
        <f>D186+D191</f>
        <v>5386.4705021802383</v>
      </c>
      <c r="E204" s="44">
        <f>E186+E191</f>
        <v>5386.4705021802383</v>
      </c>
      <c r="F204" s="12"/>
    </row>
    <row r="205" spans="1:6" ht="18" customHeight="1" x14ac:dyDescent="0.3">
      <c r="A205" s="43" t="s">
        <v>147</v>
      </c>
      <c r="B205" s="12"/>
      <c r="C205" s="59">
        <f>C203/C204</f>
        <v>4.0760403818546731</v>
      </c>
      <c r="D205" s="59">
        <f>D203/D204</f>
        <v>4.5134153570714393</v>
      </c>
      <c r="E205" s="59">
        <f>E203/E204</f>
        <v>4.9626543300578216</v>
      </c>
      <c r="F205" s="12"/>
    </row>
    <row r="206" spans="1:6" ht="18" customHeight="1" x14ac:dyDescent="0.3">
      <c r="A206" s="11"/>
      <c r="B206" s="12"/>
      <c r="C206" s="12"/>
      <c r="D206" s="12"/>
      <c r="E206" s="12"/>
      <c r="F206" s="12"/>
    </row>
    <row r="207" spans="1:6" ht="18" customHeight="1" x14ac:dyDescent="0.3">
      <c r="A207" s="20" t="s">
        <v>272</v>
      </c>
      <c r="B207" s="21" t="s">
        <v>170</v>
      </c>
      <c r="C207" s="21" t="s">
        <v>171</v>
      </c>
      <c r="D207" s="21" t="s">
        <v>172</v>
      </c>
      <c r="E207" s="21" t="s">
        <v>173</v>
      </c>
      <c r="F207" s="12"/>
    </row>
    <row r="208" spans="1:6" ht="18" customHeight="1" x14ac:dyDescent="0.3">
      <c r="A208" s="43" t="s">
        <v>174</v>
      </c>
      <c r="B208" s="12"/>
      <c r="C208" s="61">
        <v>0.09</v>
      </c>
      <c r="D208" s="61">
        <v>7.0000000000000007E-2</v>
      </c>
      <c r="E208" s="61">
        <v>0.06</v>
      </c>
      <c r="F208" s="12"/>
    </row>
    <row r="209" spans="1:6" ht="18" customHeight="1" x14ac:dyDescent="0.3">
      <c r="A209" s="43" t="s">
        <v>1</v>
      </c>
      <c r="B209" s="44">
        <f>F4</f>
        <v>59657</v>
      </c>
      <c r="C209" s="44">
        <f>B209*(1+C208)</f>
        <v>65026.130000000005</v>
      </c>
      <c r="D209" s="44">
        <f>C209*(1+D208)</f>
        <v>69577.959100000007</v>
      </c>
      <c r="E209" s="44">
        <f>D209*(1+E208)</f>
        <v>73752.636646000014</v>
      </c>
      <c r="F209" s="12"/>
    </row>
    <row r="210" spans="1:6" ht="18" customHeight="1" x14ac:dyDescent="0.3">
      <c r="A210" s="43" t="s">
        <v>3</v>
      </c>
      <c r="B210" s="12"/>
      <c r="C210" s="44">
        <f>C209*$D$176</f>
        <v>48744.879203386765</v>
      </c>
      <c r="D210" s="44">
        <f>D209*$D$176</f>
        <v>52157.020747623836</v>
      </c>
      <c r="E210" s="44">
        <f>E209*$D$176</f>
        <v>55286.441992481276</v>
      </c>
      <c r="F210" s="12"/>
    </row>
    <row r="211" spans="1:6" ht="18" customHeight="1" x14ac:dyDescent="0.3">
      <c r="A211" s="43" t="s">
        <v>178</v>
      </c>
      <c r="B211" s="12"/>
      <c r="C211" s="44">
        <f>C209*$D$177</f>
        <v>11123.051713507322</v>
      </c>
      <c r="D211" s="44">
        <f>D209*$D$177</f>
        <v>11901.665333452835</v>
      </c>
      <c r="E211" s="44">
        <f>E209*$D$177</f>
        <v>12615.765253460006</v>
      </c>
      <c r="F211" s="12"/>
    </row>
    <row r="212" spans="1:6" ht="18" customHeight="1" x14ac:dyDescent="0.3">
      <c r="A212" s="43" t="s">
        <v>179</v>
      </c>
      <c r="B212" s="12"/>
      <c r="C212" s="58">
        <f>C209-C210-C211</f>
        <v>5158.1990831059175</v>
      </c>
      <c r="D212" s="58">
        <f>D209-D210-D211</f>
        <v>5519.2730189233371</v>
      </c>
      <c r="E212" s="58">
        <f>E209-E210-E211</f>
        <v>5850.4294000587324</v>
      </c>
      <c r="F212" s="12"/>
    </row>
    <row r="213" spans="1:6" ht="18" customHeight="1" x14ac:dyDescent="0.3">
      <c r="A213" s="43" t="s">
        <v>10</v>
      </c>
      <c r="B213" s="12"/>
      <c r="C213" s="44">
        <f>C209*$D$178</f>
        <v>-544.51764482732358</v>
      </c>
      <c r="D213" s="44">
        <f>D209*$D$178</f>
        <v>-582.63387996523625</v>
      </c>
      <c r="E213" s="44">
        <f>E209*$D$178</f>
        <v>-617.59191276315039</v>
      </c>
      <c r="F213" s="12"/>
    </row>
    <row r="214" spans="1:6" ht="18" customHeight="1" x14ac:dyDescent="0.3">
      <c r="A214" s="43" t="s">
        <v>180</v>
      </c>
      <c r="B214" s="12"/>
      <c r="C214" s="44">
        <f>C212+C213</f>
        <v>4613.6814382785942</v>
      </c>
      <c r="D214" s="44">
        <f>D212+D213</f>
        <v>4936.6391389581004</v>
      </c>
      <c r="E214" s="44">
        <f>E212+E213</f>
        <v>5232.8374872955819</v>
      </c>
      <c r="F214" s="12"/>
    </row>
    <row r="215" spans="1:6" ht="18" customHeight="1" x14ac:dyDescent="0.3">
      <c r="A215" s="43" t="s">
        <v>22</v>
      </c>
      <c r="B215" s="12"/>
      <c r="C215" s="44">
        <f>C214*$D$179</f>
        <v>1709.3991276628615</v>
      </c>
      <c r="D215" s="44">
        <f>D214*$D$179</f>
        <v>1829.0570665992636</v>
      </c>
      <c r="E215" s="44">
        <f>E214*$D$179</f>
        <v>1938.8004905952178</v>
      </c>
      <c r="F215" s="12"/>
    </row>
    <row r="216" spans="1:6" ht="18" customHeight="1" x14ac:dyDescent="0.3">
      <c r="A216" s="43" t="s">
        <v>27</v>
      </c>
      <c r="B216" s="12"/>
      <c r="C216" s="58">
        <f>C214-C215</f>
        <v>2904.282310615733</v>
      </c>
      <c r="D216" s="58">
        <f>D214-D215</f>
        <v>3107.5820723588367</v>
      </c>
      <c r="E216" s="58">
        <f>E214-E215</f>
        <v>3294.0369967003644</v>
      </c>
      <c r="F216" s="12"/>
    </row>
    <row r="217" spans="1:6" ht="18" customHeight="1" x14ac:dyDescent="0.3">
      <c r="A217" s="43" t="s">
        <v>265</v>
      </c>
      <c r="B217" s="12"/>
      <c r="C217" s="44">
        <f>C209*$B$137</f>
        <v>3411.7841756958337</v>
      </c>
      <c r="D217" s="44">
        <f>D209*$B$137</f>
        <v>3650.6090679945423</v>
      </c>
      <c r="E217" s="44">
        <f>E209*$B$137</f>
        <v>3869.645612074215</v>
      </c>
      <c r="F217" s="12"/>
    </row>
    <row r="218" spans="1:6" ht="18" customHeight="1" x14ac:dyDescent="0.3">
      <c r="A218" s="43" t="s">
        <v>266</v>
      </c>
      <c r="B218" s="12"/>
      <c r="C218" s="44">
        <f>C209*$B$138</f>
        <v>-4496.3499842369802</v>
      </c>
      <c r="D218" s="44">
        <f>D209*$B$138</f>
        <v>-4811.0944831335692</v>
      </c>
      <c r="E218" s="44">
        <f>E209*$B$138</f>
        <v>-5099.7601521215838</v>
      </c>
      <c r="F218" s="12"/>
    </row>
    <row r="219" spans="1:6" ht="18" customHeight="1" x14ac:dyDescent="0.3">
      <c r="A219" s="43" t="s">
        <v>267</v>
      </c>
      <c r="B219" s="44">
        <f>'Balance Sheet'!F8</f>
        <v>8327</v>
      </c>
      <c r="C219" s="44">
        <f>C209*$B$130/365</f>
        <v>9753.5133284598869</v>
      </c>
      <c r="D219" s="44">
        <f>D209*$B$130/365</f>
        <v>10436.259261452078</v>
      </c>
      <c r="E219" s="44">
        <f>E209*$B$130/365</f>
        <v>11062.434817139205</v>
      </c>
      <c r="F219" s="12"/>
    </row>
    <row r="220" spans="1:6" ht="18" customHeight="1" x14ac:dyDescent="0.3">
      <c r="A220" s="43" t="s">
        <v>268</v>
      </c>
      <c r="B220" s="44">
        <f>'Balance Sheet'!F11</f>
        <v>12168</v>
      </c>
      <c r="C220" s="44">
        <f>C210*$B$131/365</f>
        <v>12678.973450134636</v>
      </c>
      <c r="D220" s="44">
        <f>D210*$B$131/365</f>
        <v>13566.501591644059</v>
      </c>
      <c r="E220" s="44">
        <f>E210*$B$131/365</f>
        <v>14380.491687142707</v>
      </c>
      <c r="F220" s="12"/>
    </row>
    <row r="221" spans="1:6" ht="18" customHeight="1" x14ac:dyDescent="0.3">
      <c r="A221" s="43" t="s">
        <v>269</v>
      </c>
      <c r="B221" s="44">
        <f>'Balance Sheet'!F28</f>
        <v>5484</v>
      </c>
      <c r="C221" s="44">
        <f>C210*$B$132/365</f>
        <v>6400.2662137349662</v>
      </c>
      <c r="D221" s="44">
        <f>D210*$B$132/365</f>
        <v>6848.2848486964131</v>
      </c>
      <c r="E221" s="44">
        <f>E210*$B$132/365</f>
        <v>7259.1819396181991</v>
      </c>
      <c r="F221" s="12"/>
    </row>
    <row r="222" spans="1:6" ht="18" customHeight="1" x14ac:dyDescent="0.3">
      <c r="A222" s="43" t="s">
        <v>240</v>
      </c>
      <c r="B222" s="12"/>
      <c r="C222" s="44">
        <f>-(C219-B219)-(C220-B220)+(C221-B221)</f>
        <v>-1021.2205648595564</v>
      </c>
      <c r="D222" s="44">
        <f>-(D219-C219)-(D220-C220)+(D221-C221)</f>
        <v>-1122.2554395401676</v>
      </c>
      <c r="E222" s="44">
        <f>-(E219-D219)-(E220-D220)+(E221-D221)</f>
        <v>-1029.2685602639885</v>
      </c>
      <c r="F222" s="12"/>
    </row>
    <row r="223" spans="1:6" ht="18" customHeight="1" x14ac:dyDescent="0.3">
      <c r="A223" s="43" t="s">
        <v>101</v>
      </c>
      <c r="B223" s="12"/>
      <c r="C223" s="58">
        <f>C216+C217+C222</f>
        <v>5294.8459214520108</v>
      </c>
      <c r="D223" s="58">
        <f>D216+D217+D222</f>
        <v>5635.935700813212</v>
      </c>
      <c r="E223" s="58">
        <f>E216+E217+E222</f>
        <v>6134.4140485105909</v>
      </c>
      <c r="F223" s="12"/>
    </row>
    <row r="224" spans="1:6" ht="18" customHeight="1" x14ac:dyDescent="0.3">
      <c r="A224" s="43" t="s">
        <v>150</v>
      </c>
      <c r="B224" s="12"/>
      <c r="C224" s="58">
        <f>C223+C218</f>
        <v>798.49593721503061</v>
      </c>
      <c r="D224" s="58">
        <f>D223+D218</f>
        <v>824.8412176796428</v>
      </c>
      <c r="E224" s="58">
        <f>E223+E218</f>
        <v>1034.6538963890071</v>
      </c>
      <c r="F224" s="12"/>
    </row>
    <row r="225" spans="1:6" ht="32.4" customHeight="1" x14ac:dyDescent="0.3">
      <c r="A225" s="43" t="s">
        <v>270</v>
      </c>
      <c r="B225" s="12"/>
      <c r="C225" s="44">
        <f>-$B$139</f>
        <v>-2086</v>
      </c>
      <c r="D225" s="44">
        <f>-$B$139</f>
        <v>-2086</v>
      </c>
      <c r="E225" s="44">
        <f>-$B$139</f>
        <v>-2086</v>
      </c>
      <c r="F225" s="12"/>
    </row>
    <row r="226" spans="1:6" ht="18" customHeight="1" x14ac:dyDescent="0.3">
      <c r="A226" s="43" t="s">
        <v>244</v>
      </c>
      <c r="B226" s="12"/>
      <c r="C226" s="44">
        <f>C223+C218+C225</f>
        <v>-1287.5040627849694</v>
      </c>
      <c r="D226" s="44">
        <f>D223+D218+D225</f>
        <v>-1261.1587823203572</v>
      </c>
      <c r="E226" s="44">
        <f>E223+E218+E225</f>
        <v>-1051.3461036109929</v>
      </c>
      <c r="F226" s="12"/>
    </row>
    <row r="227" spans="1:6" ht="18" customHeight="1" x14ac:dyDescent="0.3">
      <c r="A227" s="43" t="s">
        <v>246</v>
      </c>
      <c r="B227" s="58">
        <f>'Balance Sheet'!F3</f>
        <v>2670</v>
      </c>
      <c r="C227" s="58">
        <f>B227+C226</f>
        <v>1382.4959372150306</v>
      </c>
      <c r="D227" s="58">
        <f>C227+D226</f>
        <v>121.3371548946734</v>
      </c>
      <c r="E227" s="58">
        <f>D227+E226</f>
        <v>-930.00894871631954</v>
      </c>
      <c r="F227" s="12"/>
    </row>
    <row r="228" spans="1:6" ht="18" customHeight="1" x14ac:dyDescent="0.3">
      <c r="A228" s="43" t="s">
        <v>271</v>
      </c>
      <c r="B228" s="12"/>
      <c r="C228" s="44">
        <f>$B$136</f>
        <v>21655</v>
      </c>
      <c r="D228" s="44">
        <f>$B$136</f>
        <v>21655</v>
      </c>
      <c r="E228" s="44">
        <f>$B$136</f>
        <v>21655</v>
      </c>
      <c r="F228" s="12"/>
    </row>
    <row r="229" spans="1:6" ht="18" customHeight="1" x14ac:dyDescent="0.3">
      <c r="A229" s="43" t="s">
        <v>145</v>
      </c>
      <c r="B229" s="12"/>
      <c r="C229" s="44">
        <f>C228-C227</f>
        <v>20272.50406278497</v>
      </c>
      <c r="D229" s="44">
        <f>D228-D227</f>
        <v>21533.662845105326</v>
      </c>
      <c r="E229" s="44">
        <f>E228-E227</f>
        <v>22585.00894871632</v>
      </c>
      <c r="F229" s="12"/>
    </row>
    <row r="230" spans="1:6" ht="18" customHeight="1" x14ac:dyDescent="0.3">
      <c r="A230" s="43" t="s">
        <v>146</v>
      </c>
      <c r="B230" s="12"/>
      <c r="C230" s="44">
        <f>C212+C217</f>
        <v>8569.9832588017507</v>
      </c>
      <c r="D230" s="44">
        <f>D212+D217</f>
        <v>9169.8820869178799</v>
      </c>
      <c r="E230" s="44">
        <f>E212+E217</f>
        <v>9720.0750121329474</v>
      </c>
      <c r="F230" s="12"/>
    </row>
    <row r="231" spans="1:6" ht="18" customHeight="1" x14ac:dyDescent="0.3">
      <c r="A231" s="43" t="s">
        <v>147</v>
      </c>
      <c r="B231" s="12"/>
      <c r="C231" s="59">
        <f>C229/C230</f>
        <v>2.3655243482493638</v>
      </c>
      <c r="D231" s="59">
        <f>D229/D230</f>
        <v>2.3483031342165357</v>
      </c>
      <c r="E231" s="59">
        <f>E229/E230</f>
        <v>2.3235426599614613</v>
      </c>
      <c r="F231" s="12"/>
    </row>
    <row r="232" spans="1:6" ht="18" customHeight="1" x14ac:dyDescent="0.3">
      <c r="A232" s="11"/>
      <c r="B232" s="12"/>
      <c r="C232" s="12"/>
      <c r="D232" s="12"/>
      <c r="E232" s="12"/>
      <c r="F232" s="12"/>
    </row>
    <row r="233" spans="1:6" ht="18" customHeight="1" x14ac:dyDescent="0.3">
      <c r="A233" s="32" t="s">
        <v>273</v>
      </c>
      <c r="B233" s="41"/>
      <c r="C233" s="41"/>
      <c r="D233" s="41"/>
      <c r="E233" s="41"/>
      <c r="F233" s="12"/>
    </row>
    <row r="234" spans="1:6" ht="18" customHeight="1" x14ac:dyDescent="0.3">
      <c r="A234" s="20" t="s">
        <v>274</v>
      </c>
      <c r="B234" s="21" t="s">
        <v>254</v>
      </c>
      <c r="C234" s="21" t="s">
        <v>255</v>
      </c>
      <c r="D234" s="21" t="s">
        <v>256</v>
      </c>
      <c r="E234" s="20"/>
      <c r="F234" s="12"/>
    </row>
    <row r="235" spans="1:6" ht="18" customHeight="1" x14ac:dyDescent="0.3">
      <c r="A235" s="30" t="s">
        <v>275</v>
      </c>
      <c r="B235" s="16">
        <f>E56</f>
        <v>67738.853104000009</v>
      </c>
      <c r="C235" s="16">
        <f>E183</f>
        <v>62061.177100000001</v>
      </c>
      <c r="D235" s="16">
        <f>E209</f>
        <v>73752.636646000014</v>
      </c>
      <c r="E235" s="31"/>
      <c r="F235" s="12"/>
    </row>
    <row r="236" spans="1:6" ht="18" customHeight="1" x14ac:dyDescent="0.3">
      <c r="A236" s="30" t="s">
        <v>276</v>
      </c>
      <c r="B236" s="16">
        <f>E59</f>
        <v>4018.6088363534309</v>
      </c>
      <c r="C236" s="16">
        <f>E186</f>
        <v>2130.2511645872328</v>
      </c>
      <c r="D236" s="16">
        <f>E212</f>
        <v>5850.4294000587324</v>
      </c>
      <c r="E236" s="31"/>
      <c r="F236" s="12"/>
    </row>
    <row r="237" spans="1:6" ht="18" customHeight="1" x14ac:dyDescent="0.3">
      <c r="A237" s="30" t="s">
        <v>277</v>
      </c>
      <c r="B237" s="16">
        <f>E65</f>
        <v>2044.6947063714856</v>
      </c>
      <c r="C237" s="16">
        <f>E190</f>
        <v>701.30111130879027</v>
      </c>
      <c r="D237" s="16">
        <f>E216</f>
        <v>3294.0369967003644</v>
      </c>
      <c r="E237" s="31"/>
      <c r="F237" s="12"/>
    </row>
    <row r="238" spans="1:6" ht="18" customHeight="1" x14ac:dyDescent="0.3">
      <c r="A238" s="30" t="s">
        <v>278</v>
      </c>
      <c r="B238" s="16">
        <f>SUM(C151:E151)</f>
        <v>879.89729924462335</v>
      </c>
      <c r="C238" s="16">
        <f>SUM(C198:E198)</f>
        <v>-1488.1911613734874</v>
      </c>
      <c r="D238" s="16">
        <f>SUM(C224:E224)</f>
        <v>2657.9910512836805</v>
      </c>
      <c r="E238" s="31"/>
      <c r="F238" s="12"/>
    </row>
    <row r="239" spans="1:6" ht="18" customHeight="1" x14ac:dyDescent="0.3">
      <c r="A239" s="30" t="s">
        <v>279</v>
      </c>
      <c r="B239" s="16">
        <f>E159</f>
        <v>-2708.1027007553766</v>
      </c>
      <c r="C239" s="16">
        <f>E201</f>
        <v>-5076.1911613734874</v>
      </c>
      <c r="D239" s="16">
        <f>E227</f>
        <v>-930.00894871631954</v>
      </c>
      <c r="E239" s="31"/>
      <c r="F239" s="12"/>
    </row>
    <row r="240" spans="1:6" ht="18" customHeight="1" x14ac:dyDescent="0.3">
      <c r="A240" s="30" t="s">
        <v>280</v>
      </c>
      <c r="B240" s="16">
        <f>E125</f>
        <v>24363.102700755378</v>
      </c>
      <c r="C240" s="16">
        <f>E203</f>
        <v>26731.191161373488</v>
      </c>
      <c r="D240" s="16">
        <f>E229</f>
        <v>22585.00894871632</v>
      </c>
      <c r="E240" s="31"/>
      <c r="F240" s="12"/>
    </row>
    <row r="241" spans="1:6" ht="18" customHeight="1" x14ac:dyDescent="0.3">
      <c r="A241" s="30" t="s">
        <v>281</v>
      </c>
      <c r="B241" s="48">
        <f>E127</f>
        <v>3.2172178829046185</v>
      </c>
      <c r="C241" s="48">
        <f>E205</f>
        <v>4.9626543300578216</v>
      </c>
      <c r="D241" s="48">
        <f>E231</f>
        <v>2.3235426599614613</v>
      </c>
      <c r="E241" s="31"/>
      <c r="F241" s="12"/>
    </row>
    <row r="242" spans="1:6" ht="18" customHeight="1" x14ac:dyDescent="0.3">
      <c r="A242" s="11"/>
      <c r="B242" s="12"/>
      <c r="C242" s="12"/>
      <c r="D242" s="12"/>
      <c r="E242" s="12"/>
      <c r="F242" s="12"/>
    </row>
    <row r="243" spans="1:6" ht="18" customHeight="1" x14ac:dyDescent="0.3">
      <c r="A243" s="11"/>
      <c r="B243" s="12"/>
      <c r="C243" s="12"/>
      <c r="D243" s="12"/>
      <c r="E243" s="12"/>
      <c r="F243" s="12"/>
    </row>
    <row r="244" spans="1:6" ht="18" customHeight="1" x14ac:dyDescent="0.3">
      <c r="A244" s="32" t="s">
        <v>282</v>
      </c>
      <c r="B244" s="41"/>
      <c r="C244" s="41"/>
      <c r="D244" s="41"/>
      <c r="E244" s="41"/>
      <c r="F244" s="12"/>
    </row>
    <row r="245" spans="1:6" ht="18" customHeight="1" x14ac:dyDescent="0.3">
      <c r="A245" s="11"/>
      <c r="B245" s="12"/>
      <c r="C245" s="12"/>
      <c r="D245" s="12"/>
      <c r="E245" s="12"/>
      <c r="F245" s="12"/>
    </row>
    <row r="246" spans="1:6" ht="18" customHeight="1" x14ac:dyDescent="0.3">
      <c r="A246" s="32" t="s">
        <v>283</v>
      </c>
      <c r="B246" s="41"/>
      <c r="C246" s="41"/>
      <c r="D246" s="41"/>
      <c r="E246" s="41"/>
      <c r="F246" s="12"/>
    </row>
    <row r="247" spans="1:6" ht="79.5" customHeight="1" x14ac:dyDescent="0.3">
      <c r="A247" s="63" t="s">
        <v>284</v>
      </c>
      <c r="B247" s="63"/>
      <c r="C247" s="63"/>
      <c r="D247" s="63"/>
      <c r="E247" s="63"/>
      <c r="F247" s="63"/>
    </row>
    <row r="248" spans="1:6" ht="18" customHeight="1" x14ac:dyDescent="0.3">
      <c r="A248" s="11"/>
      <c r="B248" s="12"/>
      <c r="C248" s="12"/>
      <c r="D248" s="12"/>
      <c r="E248" s="12"/>
      <c r="F248" s="12"/>
    </row>
    <row r="249" spans="1:6" ht="18" customHeight="1" x14ac:dyDescent="0.3">
      <c r="A249" s="32" t="s">
        <v>285</v>
      </c>
      <c r="B249" s="41"/>
      <c r="C249" s="41"/>
      <c r="D249" s="41"/>
      <c r="E249" s="41"/>
      <c r="F249" s="12"/>
    </row>
    <row r="250" spans="1:6" ht="79.5" customHeight="1" x14ac:dyDescent="0.3">
      <c r="A250" s="63" t="s">
        <v>286</v>
      </c>
      <c r="B250" s="63"/>
      <c r="C250" s="63"/>
      <c r="D250" s="63"/>
      <c r="E250" s="63"/>
      <c r="F250" s="63"/>
    </row>
    <row r="251" spans="1:6" ht="18" customHeight="1" x14ac:dyDescent="0.3">
      <c r="A251" s="11"/>
      <c r="B251" s="12"/>
      <c r="C251" s="12"/>
      <c r="D251" s="12"/>
      <c r="E251" s="12"/>
      <c r="F251" s="12"/>
    </row>
    <row r="252" spans="1:6" ht="18" customHeight="1" x14ac:dyDescent="0.3">
      <c r="A252" s="32" t="s">
        <v>251</v>
      </c>
      <c r="B252" s="41"/>
      <c r="C252" s="41"/>
      <c r="D252" s="41"/>
      <c r="E252" s="41"/>
      <c r="F252" s="12"/>
    </row>
    <row r="253" spans="1:6" ht="79.5" customHeight="1" x14ac:dyDescent="0.3">
      <c r="A253" s="63" t="s">
        <v>287</v>
      </c>
      <c r="B253" s="63"/>
      <c r="C253" s="63"/>
      <c r="D253" s="63"/>
      <c r="E253" s="63"/>
      <c r="F253" s="63"/>
    </row>
    <row r="254" spans="1:6" ht="18" customHeight="1" x14ac:dyDescent="0.3">
      <c r="A254" s="11"/>
      <c r="B254" s="12"/>
      <c r="C254" s="12"/>
      <c r="D254" s="12"/>
      <c r="E254" s="12"/>
      <c r="F254" s="12"/>
    </row>
    <row r="255" spans="1:6" ht="18" customHeight="1" x14ac:dyDescent="0.3">
      <c r="A255" s="32" t="s">
        <v>288</v>
      </c>
      <c r="B255" s="41"/>
      <c r="C255" s="41"/>
      <c r="D255" s="41"/>
      <c r="E255" s="41"/>
      <c r="F255" s="12"/>
    </row>
    <row r="256" spans="1:6" ht="79.5" customHeight="1" x14ac:dyDescent="0.3">
      <c r="A256" s="63" t="s">
        <v>289</v>
      </c>
      <c r="B256" s="63"/>
      <c r="C256" s="63"/>
      <c r="D256" s="63"/>
      <c r="E256" s="63"/>
      <c r="F256" s="63"/>
    </row>
  </sheetData>
  <mergeCells count="5">
    <mergeCell ref="A1:B1"/>
    <mergeCell ref="A247:F247"/>
    <mergeCell ref="A250:F250"/>
    <mergeCell ref="A253:F253"/>
    <mergeCell ref="A256:F256"/>
  </mergeCells>
  <pageMargins left="0.7" right="0.7" top="0.75" bottom="0.75"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vt:lpstr>
      <vt:lpstr>Financial Forecasting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Mustafa Mansoor</cp:lastModifiedBy>
  <dcterms:modified xsi:type="dcterms:W3CDTF">2026-09-16T23:04:53Z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2026-09-16T22:01:45Z</dcterms:created>
  <dc:creator>Mustafa Mansoor</dc:creator>
  <dc:description/>
  <dc:language>en-US</dc:language>
  <cp:lastModifiedBy>Mustafa Mansoor</cp:lastModifiedBy>
  <dcterms:modified xsi:type="dcterms:W3CDTF">2026-09-16T22:15:15Z</dcterms:modified>
  <cp:revision>0</cp:revision>
  <dc:subject/>
  <dc:title/>
</cp:coreProperties>
</file>